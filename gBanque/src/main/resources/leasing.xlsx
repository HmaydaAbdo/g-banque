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leasing data vF\"/>
    </mc:Choice>
  </mc:AlternateContent>
  <xr:revisionPtr revIDLastSave="0" documentId="13_ncr:1_{25A972DC-F1DD-46FD-9841-FAD32C5312B6}" xr6:coauthVersionLast="47" xr6:coauthVersionMax="47" xr10:uidLastSave="{00000000-0000-0000-0000-000000000000}"/>
  <bookViews>
    <workbookView xWindow="-120" yWindow="-120" windowWidth="20730" windowHeight="11040" tabRatio="603" xr2:uid="{00000000-000D-0000-FFFF-FFFF00000000}"/>
  </bookViews>
  <sheets>
    <sheet name="feuil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3" l="1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<sst xmlns="http://schemas.openxmlformats.org/spreadsheetml/2006/main" count="466" uniqueCount="241">
  <si>
    <t>MAROC LEASING</t>
  </si>
  <si>
    <t>SOGELEASE</t>
  </si>
  <si>
    <t>WAFABAIL</t>
  </si>
  <si>
    <t>MAGHREBAIL</t>
  </si>
  <si>
    <t>BMCI LEASING</t>
  </si>
  <si>
    <t>1 ALIMENTATEUR D'ASPHALT MOBILE MT 1000-1 S/N°01MT0035 FACTURE PROFORMA N°52709 DU 31/08/2020 FOURNISSEUR ALTCON EQUIPEMENT BV [SANS DIFFERE]</t>
  </si>
  <si>
    <t>90065-CM-0</t>
  </si>
  <si>
    <t>1 GROUPE DE PRODUCTION EMULSION 15T/H ATOMIX**A2 FACTURE PROFORMA N°200901 DU 02/09/2020 FOURNISSEUR EMULBITUME [SANS DIFFERE]</t>
  </si>
  <si>
    <t>90091-CM-0</t>
  </si>
  <si>
    <t>SGMB</t>
  </si>
  <si>
    <t>CIH</t>
  </si>
  <si>
    <t>2 SEMI REMORQUES CITERNE EN ACIER CAPACITE 25 000 L POUR TRANSPORT DE BITUME FACTURE PROFORMA N°1707 DU 14/07/2021 FRS REMORQUES EQUIPEMENTS [DIFFERE 60JOURS]</t>
  </si>
  <si>
    <t>1520230/0000031287</t>
  </si>
  <si>
    <t>CHARGEUSE SUR PNEU MARQUE:DISD/DOOSAN TYPE SD310 SERIE N°:CWLBF-020106 FACTURE PROFORMA N°12449/2021 DU 14/10/2021 FRS HYDRAU MAC [SANS DIFFERE]</t>
  </si>
  <si>
    <t>0515530</t>
  </si>
  <si>
    <t>1 PELLE HYDRAULIQUE SUR CHEMNILLES VOLVO EC 350 DLC FAC PROFOMA N°RK/21060 DU 06/12/2021 FRS SMT EQUIPEMENT MAROC [DIFFERE 60 JOURS]</t>
  </si>
  <si>
    <t>96073-CM-0</t>
  </si>
  <si>
    <t>96169-CM-0</t>
  </si>
  <si>
    <t>2 PICK UP ISUZU SIMPLE CABINE 4*2 FAC PROFORMA N°DVD124/2021 DU 01/12/2021 FRS SDAMA MAROC [SANS DIFFERE]  [N°WW 914705+N°WW914704]</t>
  </si>
  <si>
    <t>S0553660</t>
  </si>
  <si>
    <t>01 PELLE HYDRAULIQUE SANY SY335C FAC PROFORMA N°120-2021 DU 08/12/2021 FRS FORGES DE BAZAS [SANS DIFFERE]</t>
  </si>
  <si>
    <t>03 BRISE ROCHE HYDRAULIQUE MARQUE SOOSAN TYPE SB100TS-P FAC PROFORMA N°13687/2021 DU 14/10/2021 FRS HYDRAU MAC [SANS DIFFERE]</t>
  </si>
  <si>
    <t>S0554720</t>
  </si>
  <si>
    <t>S0556990</t>
  </si>
  <si>
    <t>1 HYNDAI NEW TUCSON PRESTIGE BVM* DIESEL FAC PROFORMA N°2021030895 DU 04/01/2022 [SANS DIFFERE]</t>
  </si>
  <si>
    <t>S0557880</t>
  </si>
  <si>
    <t>S0557890</t>
  </si>
  <si>
    <t>S0557870</t>
  </si>
  <si>
    <t>081099</t>
  </si>
  <si>
    <t>1 CENTRALE A BETON MOBILE DE 30M3/H+1SILO DE 40 TONNES HORIZONTAL SV FPN°2022/0002 DU 17/01/2022 FRS SENSITIVE SOFTWARE [SANS DIFFERE]</t>
  </si>
  <si>
    <t>081115</t>
  </si>
  <si>
    <t>2 PORTEURS SITRAK C7H440+BENNE TYPE 41,440 MOTEUR MC11 FAC PROFORMA N°2100425 FRS SOMABUS ANS TRUCKS DU 20/12/2021 [DIFFERE 90 JOURS] N° WW889501+WWN°889502</t>
  </si>
  <si>
    <t>2 PORTEURS SITRAK C7H440+BENNE TYPE 41,440 MOTEUR MC11 FAC PROFORMA N°2100426 DU 20/12/2021   FRS SOMABUS ANS TRUCKS[DIFFERE 90 JOURS] N° WW889503+WW889504</t>
  </si>
  <si>
    <t>2 PORTEURS SITRAK C7H440+BENNE TYPE 41,440 MOTEUR MC11 FAC PROFORMA N°2100427 DU 20/12/2021   FRS SOMABUS ANS TRUCKS [DIFFERE 90 JOURS] N° WW889505+WW889506</t>
  </si>
  <si>
    <t>1 PORTEUR SITRAK C7H 8*4 MALAX SV FPN°21000451 DU 31/12/2021 FRS SOMABUSAND TRUCKS[DIFFERE DE 90 JOURS] WW889507</t>
  </si>
  <si>
    <t>2 PORTEURS SITRAK C7H440+BENNE TYPE 41,440 MOTEUR MC FAC PROFORMA N°22000010 DU 07/01/2022 FRS SOMABUS ANS TRUCKS [DIFFERE 90 JOURS]</t>
  </si>
  <si>
    <t>2 PORTEURS SITRAK C7H440+BENNE TYPE 41,440 MOTEUR MC FAC PROFORMA N°22000011 DU 07/01/2022 FRS SOMABUS ANS TRUCKS [DIFFERE 90 JOURS]</t>
  </si>
  <si>
    <t>96533-CM-0</t>
  </si>
  <si>
    <t>96711-CM-0</t>
  </si>
  <si>
    <t>1 VEHICULE DACIA LODGY AMBIANCE MY 7 PLACES 1,5 DCI 85 CH SV FPN°371/2022 DU 14/02/2022 FRS NOUVELLE COMPAGNIE ROYALE AUTOMOBILE [SANS DIFFERE]</t>
  </si>
  <si>
    <t>081277</t>
  </si>
  <si>
    <t>2 GRUES D'OCCASIONS TYPE TEREX RC 30-1 SERIE N°309096 ET N°309082 SV FP N°ATR-0921+0922/2022 DU 03/03/2022 FRS AERTSSEN [SANS DIFFERE]</t>
  </si>
  <si>
    <t>081449</t>
  </si>
  <si>
    <t>2 BRISE ROCHES EC 150T COMPLET SV FP N°21003671 DU 10/03/2022 FRS HALADJIAN MAROC [DIFFERE 90 JOURS]</t>
  </si>
  <si>
    <t>081566</t>
  </si>
  <si>
    <t>1 PELLE SUR CHENILLE DOOSAN TYPE DX 420 LCA-K SERIE N°CECEG-02141 EQUIPE E D4UN BRISE ROCHE HYDRAULIQUE TYPE SB 140TS-P FP N°14021/2021 DU 31/01/2022 FRS HYDRAU MAC [SANS DIFFERE]</t>
  </si>
  <si>
    <t>0518770</t>
  </si>
  <si>
    <t>S0635290</t>
  </si>
  <si>
    <t>01 PEUGEOT 301 BUSINESS HDI FAC PROFORMA N°540003 FRS SOPRIAM [SANS DIFFERE]</t>
  </si>
  <si>
    <t>01 DACIA NOUVELLE DUSTER EXPRESSION 1,5 DCI 100 CH 4WD FRS NOUVELLE COMPAGNIE ROYALE AUTOMOBILE [SANS DIFFERE]</t>
  </si>
  <si>
    <t>0536670</t>
  </si>
  <si>
    <t>1 GROUPE ELECTROGENE FG WILSON P400E3 SERIE N°FGWRPES8CCMK01693 - FRS MED CONCASSAGE - SANS DIFFERE</t>
  </si>
  <si>
    <t>103428-CM-0</t>
  </si>
  <si>
    <t>1 GRUE MOBILE SANY STC 800 80 T - FRS FORGES DE BAZAS - SANS DIFFERE</t>
  </si>
  <si>
    <t>103553-CM-0</t>
  </si>
  <si>
    <t>1 HYUNDAI NEW TUCSON - FRS GLOBAL ENGINES - SANS DIFFERE</t>
  </si>
  <si>
    <t>103297-CM-0</t>
  </si>
  <si>
    <t>1 HYNDAI NEW TUCSON PRESTIGE BVA  FAC PROFORMA N°PRO-27415 DU 31/08/2023 [SANS DIFFERE]</t>
  </si>
  <si>
    <t>2 BRISE ROCHES HYDRAULIQUES SOOSAN TYPE SQ100 - FRS HYDRAU MAC - SANS DIFFERE</t>
  </si>
  <si>
    <t>104219-CM-0</t>
  </si>
  <si>
    <t>1 HYNDAI NEW TUCSON PRESTIGE BVA  FAC PROFORMA N°PRO-28212  DU 19/09/2023 [SANS DIFFERE]</t>
  </si>
  <si>
    <t>0548090</t>
  </si>
  <si>
    <t>0547150</t>
  </si>
  <si>
    <t>105176-CM-0</t>
  </si>
  <si>
    <t>1 PELLE HYDRAULIQUE SANY SY245H FAC PROFORMA N°51-23 DU 19/10/2023 FORGES DE BAZAS [SANS DIFFERE]</t>
  </si>
  <si>
    <t>1 PELLE HYDRAULIQUE SANY SY215C FAC PROFORMA N°52-23 DU 19/10/2023 FORGES DE BAZAS [SANS DIFFERE]</t>
  </si>
  <si>
    <t>026140</t>
  </si>
  <si>
    <t>CDM LEASING</t>
  </si>
  <si>
    <t>026139</t>
  </si>
  <si>
    <t>106211-CM-0</t>
  </si>
  <si>
    <t>106212-CM-0</t>
  </si>
  <si>
    <t>1 RENAULT EXPRESS VAN FACTURE PROFORMA N° 023/2024 FOURNISSEUR NOUVELLE COMPAGNIE ROYALE  SANS DIFFERE</t>
  </si>
  <si>
    <t>106339-CM-0</t>
  </si>
  <si>
    <t>2 BRISES ROCHES HYDRAULIQUES SOOSAN SB100TS-P-SERIE N° 2927+2925 FACTURE PROFORMA N° 16791/2023 FOURNISSEUR HYDRAU MAC SANS DIFFERE</t>
  </si>
  <si>
    <t>106379-CM-0</t>
  </si>
  <si>
    <t>2 PELLE HYDRAULIQUES MARQUE SANY TYPE SY415H FACTURE PROFORMA N° 78-23 FOURNISSEUR FORGES DE BAZAS SANS DIFFERE</t>
  </si>
  <si>
    <t>026356</t>
  </si>
  <si>
    <t>1 DACIA NOUVELLE DUSTER ESSENTIAL 1,5DCI 110 CH EDC 2WD COULEUR METALISE FACTURE PROFORMA N° 260/2024 DU 14/02/2024 FOURNISSEUR DACIA SANS DIFFERE</t>
  </si>
  <si>
    <t>0557230</t>
  </si>
  <si>
    <t>1 CONCASSEUR A MACHOIRES MARQUE ALTERAC TYPE 1311 AVEC MOTEUR ELECTRIQUE 200KW ET ALIMENTATEUR 70/130 GRANIER FACTURE PROFORMA N° 07/24 DU 12/02/2024 FOURNISSEUR BADM NEGOCE SARL AU SANS DIFFERE</t>
  </si>
  <si>
    <t>0557260</t>
  </si>
  <si>
    <t>FOURNITURE POSE ET BRANCHEMENT DU POSTE 800KVA POUR DEPOT NADOR FACTURE PROFORMA N° 001/2024 DU 15/01/2024 FOURNISSEUR ELECPHONE SANS DIFFFERE</t>
  </si>
  <si>
    <t>0557570</t>
  </si>
  <si>
    <t>0557630</t>
  </si>
  <si>
    <t>2 ROULEAUX DUPLEX VIBRANT AMMANN ARW65 SERIE N°3050399 ET 3046760  1 MOIS DE DIFFERE</t>
  </si>
  <si>
    <t>108270-CM-0</t>
  </si>
  <si>
    <t>1 RENAULT EXPRESS  AUTHENTIC 1,5 DCL 95 CH  FACTURE PROFORMA N° 0694/2024 DU 01/06/2024 FOURNISSEUR NOUVELLE COMPAGNIE ROYALE  SANS DIFFERE</t>
  </si>
  <si>
    <t xml:space="preserve">4 CAMIONS IVECO T-WAY TYPE AD 410T48H (8X4) EQUIPE DE BENNE FRS ATLAS VEHICULES INDUSTRIELS  F/P N°2009/24 DU 12/08/2024 - DIFFERE 120 J </t>
  </si>
  <si>
    <t>5 CAMIONS IVECO T-WAY TYPE AD410T48H (8X4) EQUIPE DE BENNE FRS ATLAS VEHICULES INDUSTRIELS F/P N°1986/24 - DIFFERE 120 J</t>
  </si>
  <si>
    <t>IMPORTATION EN COURS  EIFFAGE</t>
  </si>
  <si>
    <t>02 ROULEAUX DUPLEX VIBRANT MARQUE AMMANN TYPE ARW65 SV FP N°18143/2024 DU 01/11/2024</t>
  </si>
  <si>
    <t>4 PORTEURS SITRAK C7H480+BENNE S FP N°24000676 DU 28/11/2024</t>
  </si>
  <si>
    <t>0566750</t>
  </si>
  <si>
    <t>0566740</t>
  </si>
  <si>
    <t>088061</t>
  </si>
  <si>
    <t>087808</t>
  </si>
  <si>
    <t xml:space="preserve">109012-CM-0                                MQ CONTRAT </t>
  </si>
  <si>
    <t>1 TRACTOPELLE MARQUE SANY TYPE BHL755 FACTURE PROFORMA N° 81-23 DU 12/12/2023 FOURNISSEUR FORGES DE BAZAS SA PAR EFFET A 90JRS DATE LIVRAISON</t>
  </si>
  <si>
    <t>1 PELLE HYDRAULIQUE SANY TYPE SY245H FACTURE PROFORMA N° 73-23 DU 27/11/2023 FOURNISSEUR FORGES DE BAZAS SA PAR EFFET A 90JRS DATE LIVRAISON</t>
  </si>
  <si>
    <t>2 RENAULT EXPRESS VAN  - FRS NCRA</t>
  </si>
  <si>
    <t>111977-CM-0</t>
  </si>
  <si>
    <t>1 LAND ROVER RANGE ROVER 25MY - FRS SMEIA</t>
  </si>
  <si>
    <t>111955-CM*-0</t>
  </si>
  <si>
    <t>2 PELLES HYDRAULIQUES SANY SY245H S/N SY024CEM755S8 &amp; SY024CEM756S8 - FRS FORGES DE BAZAS</t>
  </si>
  <si>
    <t>112092-CM-0</t>
  </si>
  <si>
    <t>1 FRAISEUSE A FROID WERTGEN 2000 DC S/N° 0520070011070213 - FRS  MOUISS CONSTRUCTION</t>
  </si>
  <si>
    <t>113199-CM-0</t>
  </si>
  <si>
    <t>5 CAMIONS IVECO T-WAY TYPE AD410T48H (8X4) EQUIPE DE BENNE FRS ATLAS VEHICULES INDUSTRIELS F/P N°0885/25- DIFFERE 120 J</t>
  </si>
  <si>
    <t>0571510</t>
  </si>
  <si>
    <t>MINI CHARGEUSE SUR PNEUS MARQUE BOBCAT N/S B1ED17259 FACTURE PROFORMA 18605/2025 DU 21/03/2025 FRS HYDRAU MAC</t>
  </si>
  <si>
    <t>0571500</t>
  </si>
  <si>
    <t xml:space="preserve">MINI CHARGEUSE BOBCAT S450 S/N B1E614111 SELON FP 2025-01175 DU 26/03/2025 - FRS SUD HYDRAULIQUE </t>
  </si>
  <si>
    <t>0571590</t>
  </si>
  <si>
    <t>DACIA LOGAN ESSENTIAL 1,5 FP 5404 DU 10/04/2025 - FRS NCRA</t>
  </si>
  <si>
    <t>0571210</t>
  </si>
  <si>
    <t>DACIA LOGAN ESSENTIAL 1,5 FP 5403 - FRS NCRA</t>
  </si>
  <si>
    <t>0571200</t>
  </si>
  <si>
    <t xml:space="preserve">RENAULT EXPRESS VAN ADVANCE 1,5 FP 5373 DU 09/04/2025  - FRS NCRA </t>
  </si>
  <si>
    <t>0571180</t>
  </si>
  <si>
    <t>1 ROULRAU DUPLEX VIBRANT AMMANN S/N 3096650</t>
  </si>
  <si>
    <t>113400-CM-0</t>
  </si>
  <si>
    <t xml:space="preserve">2 PELLES HYDRAULIQUES FP 064-25 FRS FORGES DE BAZAS </t>
  </si>
  <si>
    <t>028956</t>
  </si>
  <si>
    <t>0110851</t>
  </si>
  <si>
    <t>5 CAMIONS IVECO T-WAY AD410T48H EQUIPES DE BENNES FRS ATLAS VEHICULES INDUSTRIELS FP N°03004/25</t>
  </si>
  <si>
    <t>AWB</t>
  </si>
  <si>
    <t>BMCI</t>
  </si>
  <si>
    <t>CDM</t>
  </si>
  <si>
    <t>1734880/0000031287</t>
  </si>
  <si>
    <t>numeroContrat</t>
  </si>
  <si>
    <t>banqueDePrelevement</t>
  </si>
  <si>
    <t>organismeLeasing</t>
  </si>
  <si>
    <t>immobilisation</t>
  </si>
  <si>
    <t>montantAchatTTC</t>
  </si>
  <si>
    <t>dateDebut</t>
  </si>
  <si>
    <t>periodeEnMois</t>
  </si>
  <si>
    <t>typeContrat</t>
  </si>
  <si>
    <t>valeurResiduelle</t>
  </si>
  <si>
    <t>LINEAIRE</t>
  </si>
  <si>
    <t>pahes</t>
  </si>
  <si>
    <t>[{"numeroPhase": 1,"dureeMois":60,"mensualiteTTC":20579.59}]</t>
  </si>
  <si>
    <t>[{"numeroPhase": 1,"dureeMois":60,"mensualiteTTC":51129.41}]</t>
  </si>
  <si>
    <t>[{"numeroPhase": 1,"dureeMois":48,"mensualiteTTC":25805.16}]</t>
  </si>
  <si>
    <t>[{"numeroPhase": 1,"dureeMois":48,"mensualiteTTC":21961.84}]</t>
  </si>
  <si>
    <t>[{"numeroPhase": 1,"dureeMois":48,"mensualiteTTC":53531.976}]</t>
  </si>
  <si>
    <t>[{"numeroPhase": 1,"dureeMois":48,"mensualiteTTC":10788.84}]</t>
  </si>
  <si>
    <t>[{"numeroPhase": 1,"dureeMois":48,"mensualiteTTC":39805.82}]</t>
  </si>
  <si>
    <t>[{"numeroPhase": 1,"dureeMois":48,"mensualiteTTC":23109.34}]</t>
  </si>
  <si>
    <t>[{"numeroPhase": 1,"dureeMois":48,"mensualiteTTC":6711.95}]</t>
  </si>
  <si>
    <t>[{"numeroPhase": 1,"dureeMois":48,"mensualiteTTC":54355.54}]</t>
  </si>
  <si>
    <t>[{"numeroPhase": 1,"dureeMois":48,"mensualiteTTC":26903.24}]</t>
  </si>
  <si>
    <t>[{"numeroPhase": 1,"dureeMois":48,"mensualiteTTC":63414.79}]</t>
  </si>
  <si>
    <t>[{"numeroPhase": 1,"dureeMois":48,"mensualiteTTC":3245.57}]</t>
  </si>
  <si>
    <t>[{"numeroPhase": 1,"dureeMois":48,"mensualiteTTC":70828.34}]</t>
  </si>
  <si>
    <t>[{"numeroPhase": 1,"dureeMois":48,"mensualiteTTC":15373.28}]</t>
  </si>
  <si>
    <t>[{"numeroPhase": 1,"dureeMois":48,"mensualiteTTC":3589.74}]</t>
  </si>
  <si>
    <t>[{"numeroPhase": 1,"dureeMois":48,"mensualiteTTC":5866.22}]</t>
  </si>
  <si>
    <t>[{"numeroPhase": 1,"dureeMois":48,"mensualiteTTC":6766.236}]</t>
  </si>
  <si>
    <t>[{"numeroPhase": 1,"dureeMois":48,"mensualiteTTC":42289.008}]</t>
  </si>
  <si>
    <t>[{"numeroPhase": 1,"dureeMois":48,"mensualiteTTC":8255.628}]</t>
  </si>
  <si>
    <t>[{"numeroPhase": 1,"dureeMois":48,"mensualiteTTC":15505.968}]</t>
  </si>
  <si>
    <t>[{"numeroPhase": 1,"dureeMois":48,"mensualiteTTC":7583.688}]</t>
  </si>
  <si>
    <t>[{"numeroPhase": 1,"dureeMois":48,"mensualiteTTC":7456.824}]</t>
  </si>
  <si>
    <t>[{"numeroPhase": 1,"dureeMois":48,"mensualiteTTC":35240.832}]</t>
  </si>
  <si>
    <t>[{"numeroPhase": 1,"dureeMois":48,"mensualiteTTC":30448.08}]</t>
  </si>
  <si>
    <t>[{"numeroPhase": 1,"dureeMois":48,"mensualiteTTC":4343.92}]</t>
  </si>
  <si>
    <t>[{"numeroPhase": 1,"dureeMois":48,"mensualiteTTC":15111.28}]</t>
  </si>
  <si>
    <t>[{"numeroPhase": 1,"dureeMois":48,"mensualiteTTC":25937.26}]</t>
  </si>
  <si>
    <t>[{"numeroPhase": 1,"dureeMois":48,"mensualiteTTC":15224.04}]</t>
  </si>
  <si>
    <t>[{"numeroPhase": 1,"dureeMois":48,"mensualiteTTC":35240.83}]</t>
  </si>
  <si>
    <t>[{"numeroPhase": 1,"dureeMois":48,"mensualiteTTC":131095.92}]</t>
  </si>
  <si>
    <t>[{"numeroPhase": 1,"dureeMois":48,"mensualiteTTC":5074.68}]</t>
  </si>
  <si>
    <t>[{"numeroPhase": 1,"dureeMois":48,"mensualiteTTC":4476.95}]</t>
  </si>
  <si>
    <t>[{"numeroPhase": 1,"dureeMois":48,"mensualiteTTC":138973.512}]</t>
  </si>
  <si>
    <t>[{"numeroPhase": 1,"dureeMois":48,"mensualiteTTC":173716.88}]</t>
  </si>
  <si>
    <t>[{"numeroPhase": 1,"dureeMois":48,"mensualiteTTC":6315.63}]</t>
  </si>
  <si>
    <t>[{"numeroPhase": 1,"dureeMois":48,"mensualiteTTC":8437.02}]</t>
  </si>
  <si>
    <t>[{"numeroPhase": 1,"dureeMois":48,"mensualiteTTC":38734.356}]</t>
  </si>
  <si>
    <t>[{"numeroPhase": 1,"dureeMois":48,"mensualiteTTC":70481.676}]</t>
  </si>
  <si>
    <t>[{"numeroPhase": 1,"dureeMois":48,"mensualiteTTC":8389.272}]</t>
  </si>
  <si>
    <t>[{"numeroPhase": 1,"dureeMois":48,"mensualiteTTC":4142.352}]</t>
  </si>
  <si>
    <t>[{"numeroPhase": 1,"dureeMois":48,"mensualiteTTC":10232.076}]</t>
  </si>
  <si>
    <t>[{"numeroPhase": 1,"dureeMois":48,"mensualiteTTC":4204.968}]</t>
  </si>
  <si>
    <t>[{"numeroPhase": 1,"dureeMois":48,"mensualiteTTC":84258.7}]</t>
  </si>
  <si>
    <t>[{"numeroPhase": 1,"dureeMois":48,"mensualiteTTC":25373.4}]</t>
  </si>
  <si>
    <t>[{"numeroPhase": 1,"dureeMois":48,"mensualiteTTC":3157.584}]</t>
  </si>
  <si>
    <t>[{"numeroPhase": 1,"dureeMois":48,"mensualiteTTC":174560.58}]</t>
  </si>
  <si>
    <t>[{"numeroPhase": 1,"dureeMois":48,"mensualiteTTC":41524.98}]</t>
  </si>
  <si>
    <t>[{"numeroPhase": 1,"dureeMois":48,"mensualiteTTC":172733.616}]</t>
  </si>
  <si>
    <t>[{"numeroPhase": 1,"dureeMois":48,"mensualiteTTC":172243.14}]</t>
  </si>
  <si>
    <t>[{"numeroPhase": 1,"dureeMois":48,"mensualiteTTC":124047.75}]</t>
  </si>
  <si>
    <t>[{"numeroPhase": 1,"dureeMois":48,"mensualiteTTC":5630.22}]</t>
  </si>
  <si>
    <t>[{"numeroPhase": 1,"dureeMois":48,"mensualiteTTC":6315.156}]</t>
  </si>
  <si>
    <t>0557180</t>
  </si>
  <si>
    <t>1 PORTEUR SITRAK G5H 18T 4*2 FACTURE PROFORMA N° 23000335 DU 13/12/2023 FOURNISSEUR SOMABUS ET TRUCKS AVEC DIFFERE 4 MOIS</t>
  </si>
  <si>
    <t>PROGRESSIF</t>
  </si>
  <si>
    <t>0559850</t>
  </si>
  <si>
    <t>2 PLLES HYDRAULIQUES SY550 HD + ACCESSOIRES SELON FACTURE PROFORMA N°30-24 DU 19/03/2024 FOURNISSEUR FORGES DE BAZAS</t>
  </si>
  <si>
    <t>0557150</t>
  </si>
  <si>
    <t>5 CAMIONS PORTEURS K 480 P8*4 E5 CHASSIS CABINE FACTURE PROFORMA N° 24090179 DU 01/02/2024 RENAULT TRUCKS AVEC DIFFERE 4 MOIS</t>
  </si>
  <si>
    <t>0557170</t>
  </si>
  <si>
    <t>5 BENNES RONDE 22M3 EN HARDOX FACTURE PROFORMA N° 2024010014 DU 09/01/2024 FOURNISSEUR MASTER REMORQUE AVEC DIFFERE 4 MOIS</t>
  </si>
  <si>
    <t>0557200</t>
  </si>
  <si>
    <t>1 CITERNE A GASOIL 12000L FACTURE PROFORMA N° 2023110393 DU 14/11/2023 FOURNISSEUR MASTER REMORQUE AVEC DIFFERE 4 MOIS</t>
  </si>
  <si>
    <t>0560520</t>
  </si>
  <si>
    <t>2 CHARGEUSES SANY TYPE SYL956H5 N/S SL9563CDM1708 SELON FACTURE PROFORMA N°33-24 FOURNISSEUR FORGES DE BAZAS  DIFFERE 120 j</t>
  </si>
  <si>
    <t>0558600</t>
  </si>
  <si>
    <t>0558880</t>
  </si>
  <si>
    <t>5 BENNES RONDE 22M3 EN HARDOX HB450 FACTURE PROFORMA N° 067032024 DU 11/03/2024 FOURNISSEUR SARL STRONG BENNES AVEC DIFFERE 4 MOIS</t>
  </si>
  <si>
    <t xml:space="preserve"> 0565320                                     MQ CONTRAT </t>
  </si>
  <si>
    <t xml:space="preserve">2 CAMIONS IVECO T-WAY TYPE AD 410T48H (8X4) EQUIPE DE BENNE FRS ATLAS VEHICULES INDUSTRIELS  F/P N°2009/24 DU 12/08/2024 - DIFFERE 120 J </t>
  </si>
  <si>
    <t>027492</t>
  </si>
  <si>
    <t>3 CAMIONS IVECO T-WAY TYPE AD410T48H (8X4) EQUIPE DE BENNE FRS ATLAS VEHICULES INDUSTRIELS F/P N°2121/24 - DIFFERE 120 J</t>
  </si>
  <si>
    <t>108817-CM-0</t>
  </si>
  <si>
    <t xml:space="preserve">AFFAIRE LEASE BACK </t>
  </si>
  <si>
    <t>DEGRESSIF</t>
  </si>
  <si>
    <t>0566530</t>
  </si>
  <si>
    <t>CHARIOT HYDRAULIQUE DE PERFORATION MARQUE FURUKAWA TYPE HCR 910 DS SERIE N°1760101411 SELON F/P 17988/2024 FRS HYDRAU MAC SANS DIFFERE</t>
  </si>
  <si>
    <t>0567400</t>
  </si>
  <si>
    <t>6 CAMIONS IVECO T-WAY TYPE AD410T48H (8X4) EQUIPE DE BENNE FRS ATLAS VEHICULES INDUSTRIELS F/P N°2456/24 - DIFFERE 120 J</t>
  </si>
  <si>
    <t>108147-CM-0</t>
  </si>
  <si>
    <t>1 COMPACTEUR BOMAG BW 218D SERIE 961584481068 SELON PROFORMA N°9473/M DU 07/05/2024 - FOURNISSEUR SRM  - 4 MOIS DIFFERE</t>
  </si>
  <si>
    <t>108145-CM-0</t>
  </si>
  <si>
    <t>1 COMPACTEUR VIBRANT MONOCYLINDRE AMMANN - TYPE ASC170 SELON FACTURE PROFORMA N°17328/2024 - HYDRAU MAC - SANS DIFFERE</t>
  </si>
  <si>
    <t>107458-CM-0</t>
  </si>
  <si>
    <r>
      <t>5 CAMIONS PORTEURS K 480 P8*4 E5 CHASSIS CABINE FACTURE PROFORMA N° 24090388</t>
    </r>
    <r>
      <rPr>
        <sz val="10"/>
        <color rgb="FFFF0000"/>
        <rFont val="Times New Roman"/>
        <family val="1"/>
      </rPr>
      <t xml:space="preserve"> </t>
    </r>
    <r>
      <rPr>
        <sz val="10"/>
        <rFont val="Times New Roman"/>
        <family val="1"/>
      </rPr>
      <t>DU 11/03/2024 RENAULT TRUCKS AVEC DIFFERE 4 MOIS</t>
    </r>
  </si>
  <si>
    <t>[ {"numeroPhase":1,"dureeMois":3,"mensualiteTTC":786.24},{"numeroPhase":2,"dureeMois":3,"mensualiteTTC":1579.2},{"numeroPhase":3,"dureeMois":3,"mensualiteTTC":2365.44},{"numeroPhase":4,"dureeMois":39,"mensualiteTTC":19531.55}]</t>
  </si>
  <si>
    <t>[
  {
    "numeroPhase": 1,
    "dureeMois": 3,
    "mensualiteTTC": 7413.12
  },
  {
    "numeroPhase": 2,
    "dureeMois": 3,
    "mensualiteTTC": 14889.6
  },
  {
    "numeroPhase": 3,
    "dureeMois": 3,
    "mensualiteTTC": 22302.72
  },
  {
    "numeroPhase": 4,
    "dureeMois": 39,
    "mensualiteTTC": 184154.58
  }
]</t>
  </si>
  <si>
    <t>[
  {
    "numeroPhase": 1,
    "dureeMois": 3,
    "mensualiteTTC": 7081.81
  },
  {
    "numeroPhase": 2,
    "dureeMois": 3,
    "mensualiteTTC": 14224.15
  },
  {
    "numeroPhase": 3,
    "dureeMois": 3,
    "mensualiteTTC": 21305.96
  },
  {
    "numeroPhase": 4,
    "dureeMois": 39,
    "mensualiteTTC": 175924.3
  }
]</t>
  </si>
  <si>
    <t>[
  {
    "numeroPhase": 1,
    "dureeMois": 3,
    "mensualiteTTC": 1333.8
  },
  {
    "numeroPhase": 2,
    "dureeMois": 3,
    "mensualiteTTC": 2679
  },
  {
    "numeroPhase": 3,
    "dureeMois": 3,
    "mensualiteTTC": 4012.8
  },
  {
    "numeroPhase": 4,
    "dureeMois": 39,
    "mensualiteTTC": 33133.87
  }
]</t>
  </si>
  <si>
    <t>[ {"numeroPhase":1,"dureeMois":3,"mensualiteTTC":182.52},{"numeroPhase":2,"dureeMois":3,"mensualiteTTC":366.6},{"numeroPhase":3,"dureeMois":3,"mensualiteTTC":549.12},{"numeroPhase":4,"dureeMois":39,"mensualiteTTC":4534.1}]</t>
  </si>
  <si>
    <t>[ {"numeroPhase":1,"dureeMois":3,"mensualiteTTC":3074.76},{"numeroPhase":2,"dureeMois":3,"mensualiteTTC":6175.8},{"numeroPhase":3,"dureeMois":3,"mensualiteTTC":9250.56},{"numeroPhase":4,"dureeMois":39,"mensualiteTTC":76382.292}]</t>
  </si>
  <si>
    <t>[ {"numeroPhase":1,"dureeMois":3,"mensualiteTTC":1416.36},{"numeroPhase":2,"dureeMois":3,"mensualiteTTC":2844.828},{"numeroPhase":3,"dureeMois":3,"mensualiteTTC":4261.188},{"numeroPhase":4,"dureeMois":39,"mensualiteTTC":35184.852}]</t>
  </si>
  <si>
    <t>[ {"numeroPhase":1,"dureeMois":3,"mensualiteTTC":1228.5},{"numeroPhase":2,"dureeMois":3,"mensualiteTTC":2467.5},{"numeroPhase":3,"dureeMois":3,"mensualiteTTC":3696},{"numeroPhase":4,"dureeMois":39,"mensualiteTTC":30518.04}]</t>
  </si>
  <si>
    <t>[ {"numeroPhase":1,"dureeMois":3,"mensualiteTTC":3460.452},{"numeroPhase":2,"dureeMois":3,"mensualiteTTC":6950.484},{"numeroPhase":3,"dureeMois":3,"mensualiteTTC":10410.936},{"numeroPhase":4,"dureeMois":39,"mensualiteTTC":85963.56}]</t>
  </si>
  <si>
    <t>[ {"numeroPhase":1,"dureeMois":12,"mensualiteTTC":95932.79},{"numeroPhase":2,"dureeMois":12,"mensualiteTTC":98136.23},{"numeroPhase":3,"dureeMois":12,"mensualiteTTC":106977},{"numeroPhase":4,"dureeMois":12,"mensualiteTTC":118397.47}]</t>
  </si>
  <si>
    <t>[ {"numeroPhase":1,"dureeMois":12,"mensualiteTTC":256255.584},{"numeroPhase":2,"dureeMois":12,"mensualiteTTC":170837.052},{"numeroPhase":3,"dureeMois":12,"mensualiteTTC":85418.532}]</t>
  </si>
  <si>
    <t>[ {"numeroPhase":1,"dureeMois":3,"mensualiteTTC":7259.616},{"numeroPhase":2,"dureeMois":3,"mensualiteTTC":14519.22},{"numeroPhase":3,"dureeMois":42,"mensualiteTTC":82654.14}]</t>
  </si>
  <si>
    <t>[ {"numeroPhase":1,"dureeMois":3,"mensualiteTTC":20851.452},{"numeroPhase":2,"dureeMois":3,"mensualiteTTC":41702.892},{"numeroPhase":3,"dureeMois":42,"mensualiteTTC":237340.608}]</t>
  </si>
  <si>
    <t>[ {"numeroPhase":1,"dureeMois":9,"mensualiteTTC":13126.908},{"numeroPhase":2,"dureeMois":39,"mensualiteTTC":33939.804}]</t>
  </si>
  <si>
    <t>[ {"numeroPhase":1,"dureeMois":9,"mensualiteTTC":66000},{"numeroPhase":2,"dureeMois":39,"mensualiteTTC":170671.2}]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</si>
</sst>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.00\ _D_H_-;\-* #,##0.00\ _D_H_-;_-* &quot;-&quot;??\ _D_H_-;_-@_-"/>
    <numFmt numFmtId="166" formatCode="dd/mm/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2"/>
      <name val="Tms Rmn"/>
    </font>
    <font>
      <sz val="9"/>
      <name val="Arial"/>
      <family val="2"/>
    </font>
    <font>
      <i/>
      <sz val="1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i/>
      <u/>
      <sz val="12"/>
      <name val="Times New Roman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1" fillId="0" borderId="0"/>
    <xf numFmtId="0" fontId="7" fillId="0" borderId="0"/>
    <xf numFmtId="0" fontId="1" fillId="0" borderId="0"/>
    <xf numFmtId="0" fontId="1" fillId="0" borderId="0"/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2" xfId="0" applyBorder="1"/>
    <xf numFmtId="0" fontId="0" fillId="0" borderId="1" xfId="0" applyBorder="1"/>
    <xf numFmtId="0" fontId="0" fillId="3" borderId="2" xfId="0" applyFill="1" applyBorder="1"/>
    <xf numFmtId="0" fontId="3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12" fillId="2" borderId="0" xfId="0" applyFont="1" applyFill="1"/>
    <xf numFmtId="0" fontId="0" fillId="0" borderId="3" xfId="0" applyBorder="1"/>
    <xf numFmtId="49" fontId="11" fillId="2" borderId="4" xfId="1" applyNumberFormat="1" applyFont="1" applyFill="1" applyBorder="1" applyAlignment="1">
      <alignment horizontal="center" vertical="center" wrapText="1"/>
    </xf>
    <xf numFmtId="0" fontId="11" fillId="2" borderId="4" xfId="1" applyFont="1" applyFill="1" applyBorder="1" applyAlignment="1">
      <alignment horizontal="center" vertical="center" wrapText="1"/>
    </xf>
    <xf numFmtId="4" fontId="11" fillId="2" borderId="4" xfId="1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49" fontId="3" fillId="3" borderId="4" xfId="1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4" fontId="3" fillId="3" borderId="4" xfId="36" applyNumberFormat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 vertical="center"/>
    </xf>
    <xf numFmtId="164" fontId="3" fillId="3" borderId="4" xfId="36" applyFont="1" applyFill="1" applyBorder="1" applyAlignment="1">
      <alignment vertical="center"/>
    </xf>
    <xf numFmtId="0" fontId="9" fillId="3" borderId="4" xfId="0" applyFont="1" applyFill="1" applyBorder="1"/>
    <xf numFmtId="0" fontId="0" fillId="3" borderId="0" xfId="0" applyFill="1"/>
    <xf numFmtId="4" fontId="9" fillId="3" borderId="4" xfId="36" applyNumberFormat="1" applyFont="1" applyFill="1" applyBorder="1" applyAlignment="1">
      <alignment horizontal="center" vertical="center"/>
    </xf>
    <xf numFmtId="49" fontId="3" fillId="3" borderId="4" xfId="1" applyNumberFormat="1" applyFont="1" applyFill="1" applyBorder="1" applyAlignment="1">
      <alignment horizontal="center" vertical="center" wrapText="1"/>
    </xf>
    <xf numFmtId="49" fontId="9" fillId="3" borderId="4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164" fontId="3" fillId="3" borderId="4" xfId="36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 wrapText="1"/>
    </xf>
    <xf numFmtId="14" fontId="9" fillId="3" borderId="4" xfId="0" applyNumberFormat="1" applyFont="1" applyFill="1" applyBorder="1" applyAlignment="1">
      <alignment horizontal="center" vertical="center"/>
    </xf>
    <xf numFmtId="4" fontId="3" fillId="3" borderId="4" xfId="36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vertical="center"/>
    </xf>
  </cellXfs>
  <cellStyles count="37">
    <cellStyle name="Comma 2" xfId="4" xr:uid="{00000000-0005-0000-0000-000000000000}"/>
    <cellStyle name="Comma 2 2" xfId="5" xr:uid="{00000000-0005-0000-0000-000001000000}"/>
    <cellStyle name="Lien hypertexte 2" xfId="6" xr:uid="{00000000-0005-0000-0000-000002000000}"/>
    <cellStyle name="Milliers" xfId="36" builtinId="3"/>
    <cellStyle name="Milliers 10" xfId="7" xr:uid="{00000000-0005-0000-0000-000004000000}"/>
    <cellStyle name="Milliers 10 2" xfId="8" xr:uid="{00000000-0005-0000-0000-000005000000}"/>
    <cellStyle name="Milliers 2" xfId="3" xr:uid="{00000000-0005-0000-0000-000006000000}"/>
    <cellStyle name="Milliers 2 2" xfId="9" xr:uid="{00000000-0005-0000-0000-000007000000}"/>
    <cellStyle name="Milliers 2 2 2" xfId="10" xr:uid="{00000000-0005-0000-0000-000008000000}"/>
    <cellStyle name="Milliers 2 2 2 2" xfId="11" xr:uid="{00000000-0005-0000-0000-000009000000}"/>
    <cellStyle name="Milliers 2 2 2 3" xfId="12" xr:uid="{00000000-0005-0000-0000-00000A000000}"/>
    <cellStyle name="Milliers 2 2 2 4" xfId="13" xr:uid="{00000000-0005-0000-0000-00000B000000}"/>
    <cellStyle name="Milliers 2 2 2 5" xfId="14" xr:uid="{00000000-0005-0000-0000-00000C000000}"/>
    <cellStyle name="Milliers 2 2 3" xfId="15" xr:uid="{00000000-0005-0000-0000-00000D000000}"/>
    <cellStyle name="Milliers 2 2 4" xfId="16" xr:uid="{00000000-0005-0000-0000-00000E000000}"/>
    <cellStyle name="Milliers 2 2 5" xfId="17" xr:uid="{00000000-0005-0000-0000-00000F000000}"/>
    <cellStyle name="Milliers 2 2 6" xfId="18" xr:uid="{00000000-0005-0000-0000-000010000000}"/>
    <cellStyle name="Milliers 2 3" xfId="19" xr:uid="{00000000-0005-0000-0000-000011000000}"/>
    <cellStyle name="Milliers 3" xfId="20" xr:uid="{00000000-0005-0000-0000-000012000000}"/>
    <cellStyle name="Milliers 3 2" xfId="21" xr:uid="{00000000-0005-0000-0000-000013000000}"/>
    <cellStyle name="Milliers 4" xfId="22" xr:uid="{00000000-0005-0000-0000-000014000000}"/>
    <cellStyle name="Milliers 4 2" xfId="23" xr:uid="{00000000-0005-0000-0000-000015000000}"/>
    <cellStyle name="Milliers 5" xfId="24" xr:uid="{00000000-0005-0000-0000-000016000000}"/>
    <cellStyle name="Milliers 6" xfId="25" xr:uid="{00000000-0005-0000-0000-000017000000}"/>
    <cellStyle name="Milliers 6 2" xfId="26" xr:uid="{00000000-0005-0000-0000-000018000000}"/>
    <cellStyle name="Milliers 7" xfId="27" xr:uid="{00000000-0005-0000-0000-000019000000}"/>
    <cellStyle name="Milliers 8" xfId="2" xr:uid="{00000000-0005-0000-0000-00001A000000}"/>
    <cellStyle name="Normal" xfId="0" builtinId="0"/>
    <cellStyle name="Normal 2" xfId="28" xr:uid="{00000000-0005-0000-0000-00001C000000}"/>
    <cellStyle name="Normal 2 2" xfId="29" xr:uid="{00000000-0005-0000-0000-00001D000000}"/>
    <cellStyle name="Normal 2 2 2" xfId="30" xr:uid="{00000000-0005-0000-0000-00001E000000}"/>
    <cellStyle name="Normal 3" xfId="31" xr:uid="{00000000-0005-0000-0000-00001F000000}"/>
    <cellStyle name="Normal 4" xfId="32" xr:uid="{00000000-0005-0000-0000-000020000000}"/>
    <cellStyle name="Normal 5" xfId="33" xr:uid="{00000000-0005-0000-0000-000021000000}"/>
    <cellStyle name="Normal 6" xfId="34" xr:uid="{00000000-0005-0000-0000-000022000000}"/>
    <cellStyle name="Normal 7" xfId="1" xr:uid="{00000000-0005-0000-0000-000023000000}"/>
    <cellStyle name="Pourcentage 2" xfId="35" xr:uid="{00000000-0005-0000-0000-000024000000}"/>
  </cellStyles>
  <dxfs count="6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B753-C2A9-4EB4-A4D7-64EA8157A133}">
  <dimension ref="A1:J78"/>
  <sheetViews>
    <sheetView tabSelected="1" zoomScale="115" zoomScaleNormal="115" workbookViewId="0">
      <selection activeCell="G6" sqref="G6"/>
    </sheetView>
  </sheetViews>
  <sheetFormatPr baseColWidth="10" defaultRowHeight="15" x14ac:dyDescent="0.25"/>
  <cols>
    <col min="1" max="1" width="16.5703125" style="1" customWidth="1"/>
    <col min="2" max="2" width="16.5703125" style="3" customWidth="1"/>
    <col min="3" max="3" width="14.42578125" style="1" customWidth="1"/>
    <col min="4" max="5" width="15.42578125" style="1" customWidth="1"/>
    <col min="6" max="7" width="11.42578125" style="1"/>
    <col min="8" max="8" width="11.42578125" style="2"/>
    <col min="9" max="9" width="17.42578125" style="2" customWidth="1"/>
    <col min="10" max="10" width="58.140625" style="2" customWidth="1"/>
  </cols>
  <sheetData>
    <row r="1" spans="1:10" s="6" customFormat="1" ht="31.5" x14ac:dyDescent="0.25">
      <c r="A1" s="8" t="s">
        <v>129</v>
      </c>
      <c r="B1" s="9" t="s">
        <v>130</v>
      </c>
      <c r="C1" s="9" t="s">
        <v>131</v>
      </c>
      <c r="D1" s="9" t="s">
        <v>132</v>
      </c>
      <c r="E1" s="10" t="s">
        <v>133</v>
      </c>
      <c r="F1" s="9" t="s">
        <v>134</v>
      </c>
      <c r="G1" s="9" t="s">
        <v>135</v>
      </c>
      <c r="H1" s="9" t="s">
        <v>136</v>
      </c>
      <c r="I1" s="9" t="s">
        <v>137</v>
      </c>
      <c r="J1" s="9" t="s">
        <v>139</v>
      </c>
    </row>
    <row r="2" spans="1:10" s="18" customFormat="1" ht="25.5" customHeight="1" x14ac:dyDescent="0.25">
      <c r="A2" s="12" t="s">
        <v>6</v>
      </c>
      <c r="B2" s="11" t="s">
        <v>10</v>
      </c>
      <c r="C2" s="11" t="s">
        <v>0</v>
      </c>
      <c r="D2" s="13" t="s">
        <v>5</v>
      </c>
      <c r="E2" s="14">
        <v>1095818.22</v>
      </c>
      <c r="F2" s="15">
        <v>44175</v>
      </c>
      <c r="G2" s="16">
        <v>60</v>
      </c>
      <c r="H2" s="5" t="s">
        <v>138</v>
      </c>
      <c r="I2" s="5">
        <f>E2*(1/100)</f>
        <v>10958.182199999999</v>
      </c>
      <c r="J2" s="17" t="s">
        <v>140</v>
      </c>
    </row>
    <row r="3" spans="1:10" s="18" customFormat="1" ht="24.75" customHeight="1" x14ac:dyDescent="0.25">
      <c r="A3" s="12" t="s">
        <v>8</v>
      </c>
      <c r="B3" s="11" t="s">
        <v>10</v>
      </c>
      <c r="C3" s="11" t="s">
        <v>0</v>
      </c>
      <c r="D3" s="13" t="s">
        <v>7</v>
      </c>
      <c r="E3" s="14">
        <v>2722528.65</v>
      </c>
      <c r="F3" s="15">
        <v>44296</v>
      </c>
      <c r="G3" s="16">
        <v>60</v>
      </c>
      <c r="H3" s="5" t="s">
        <v>138</v>
      </c>
      <c r="I3" s="5">
        <f t="shared" ref="I3:I61" si="0">E3*(1/100)</f>
        <v>27225.286499999998</v>
      </c>
      <c r="J3" s="17" t="s">
        <v>141</v>
      </c>
    </row>
    <row r="4" spans="1:10" s="18" customFormat="1" ht="22.5" customHeight="1" x14ac:dyDescent="0.25">
      <c r="A4" s="12" t="s">
        <v>12</v>
      </c>
      <c r="B4" s="11" t="s">
        <v>125</v>
      </c>
      <c r="C4" s="11" t="s">
        <v>3</v>
      </c>
      <c r="D4" s="13" t="s">
        <v>11</v>
      </c>
      <c r="E4" s="14">
        <v>1128000</v>
      </c>
      <c r="F4" s="15">
        <v>44520</v>
      </c>
      <c r="G4" s="16">
        <v>48</v>
      </c>
      <c r="H4" s="5" t="s">
        <v>138</v>
      </c>
      <c r="I4" s="5">
        <f t="shared" si="0"/>
        <v>11280</v>
      </c>
      <c r="J4" s="17" t="s">
        <v>142</v>
      </c>
    </row>
    <row r="5" spans="1:10" s="18" customFormat="1" ht="21.75" customHeight="1" x14ac:dyDescent="0.25">
      <c r="A5" s="12" t="s">
        <v>14</v>
      </c>
      <c r="B5" s="11" t="s">
        <v>126</v>
      </c>
      <c r="C5" s="11" t="s">
        <v>4</v>
      </c>
      <c r="D5" s="13" t="s">
        <v>13</v>
      </c>
      <c r="E5" s="14">
        <v>960000</v>
      </c>
      <c r="F5" s="15">
        <v>44566</v>
      </c>
      <c r="G5" s="16">
        <v>48</v>
      </c>
      <c r="H5" s="5" t="s">
        <v>138</v>
      </c>
      <c r="I5" s="5">
        <f t="shared" si="0"/>
        <v>9600</v>
      </c>
      <c r="J5" s="17" t="s">
        <v>143</v>
      </c>
    </row>
    <row r="6" spans="1:10" s="18" customFormat="1" ht="23.25" customHeight="1" x14ac:dyDescent="0.25">
      <c r="A6" s="12" t="s">
        <v>16</v>
      </c>
      <c r="B6" s="11" t="s">
        <v>10</v>
      </c>
      <c r="C6" s="11" t="s">
        <v>0</v>
      </c>
      <c r="D6" s="13" t="s">
        <v>15</v>
      </c>
      <c r="E6" s="14">
        <v>2340000</v>
      </c>
      <c r="F6" s="15">
        <v>44555</v>
      </c>
      <c r="G6" s="16">
        <v>48</v>
      </c>
      <c r="H6" s="5" t="s">
        <v>138</v>
      </c>
      <c r="I6" s="5">
        <f t="shared" si="0"/>
        <v>23400</v>
      </c>
      <c r="J6" s="17" t="s">
        <v>144</v>
      </c>
    </row>
    <row r="7" spans="1:10" s="18" customFormat="1" ht="22.5" customHeight="1" x14ac:dyDescent="0.25">
      <c r="A7" s="12" t="s">
        <v>17</v>
      </c>
      <c r="B7" s="11" t="s">
        <v>10</v>
      </c>
      <c r="C7" s="11" t="s">
        <v>0</v>
      </c>
      <c r="D7" s="13" t="s">
        <v>18</v>
      </c>
      <c r="E7" s="14">
        <v>468670</v>
      </c>
      <c r="F7" s="15">
        <v>44566</v>
      </c>
      <c r="G7" s="16">
        <v>48</v>
      </c>
      <c r="H7" s="5" t="s">
        <v>138</v>
      </c>
      <c r="I7" s="5">
        <f t="shared" si="0"/>
        <v>4686.7</v>
      </c>
      <c r="J7" s="17" t="s">
        <v>145</v>
      </c>
    </row>
    <row r="8" spans="1:10" s="18" customFormat="1" ht="17.25" customHeight="1" x14ac:dyDescent="0.25">
      <c r="A8" s="12" t="s">
        <v>19</v>
      </c>
      <c r="B8" s="11" t="s">
        <v>125</v>
      </c>
      <c r="C8" s="11" t="s">
        <v>2</v>
      </c>
      <c r="D8" s="13" t="s">
        <v>20</v>
      </c>
      <c r="E8" s="14">
        <v>1740000</v>
      </c>
      <c r="F8" s="15">
        <v>44566</v>
      </c>
      <c r="G8" s="16">
        <v>48</v>
      </c>
      <c r="H8" s="5" t="s">
        <v>138</v>
      </c>
      <c r="I8" s="5">
        <f t="shared" si="0"/>
        <v>17400</v>
      </c>
      <c r="J8" s="17" t="s">
        <v>146</v>
      </c>
    </row>
    <row r="9" spans="1:10" s="18" customFormat="1" ht="21" customHeight="1" x14ac:dyDescent="0.25">
      <c r="A9" s="12" t="s">
        <v>22</v>
      </c>
      <c r="B9" s="11" t="s">
        <v>125</v>
      </c>
      <c r="C9" s="11" t="s">
        <v>2</v>
      </c>
      <c r="D9" s="13" t="s">
        <v>21</v>
      </c>
      <c r="E9" s="14">
        <v>1010160</v>
      </c>
      <c r="F9" s="15">
        <v>44586</v>
      </c>
      <c r="G9" s="16">
        <v>48</v>
      </c>
      <c r="H9" s="5" t="s">
        <v>138</v>
      </c>
      <c r="I9" s="5">
        <f t="shared" si="0"/>
        <v>10101.6</v>
      </c>
      <c r="J9" s="17" t="s">
        <v>147</v>
      </c>
    </row>
    <row r="10" spans="1:10" s="18" customFormat="1" ht="18.75" customHeight="1" x14ac:dyDescent="0.25">
      <c r="A10" s="12" t="s">
        <v>23</v>
      </c>
      <c r="B10" s="11" t="s">
        <v>125</v>
      </c>
      <c r="C10" s="11" t="s">
        <v>2</v>
      </c>
      <c r="D10" s="13" t="s">
        <v>24</v>
      </c>
      <c r="E10" s="14">
        <v>292145</v>
      </c>
      <c r="F10" s="15">
        <v>44617</v>
      </c>
      <c r="G10" s="16">
        <v>48</v>
      </c>
      <c r="H10" s="5" t="s">
        <v>138</v>
      </c>
      <c r="I10" s="5">
        <f t="shared" si="0"/>
        <v>2921.4500000000003</v>
      </c>
      <c r="J10" s="17" t="s">
        <v>148</v>
      </c>
    </row>
    <row r="11" spans="1:10" s="18" customFormat="1" ht="21.75" customHeight="1" x14ac:dyDescent="0.25">
      <c r="A11" s="12" t="s">
        <v>27</v>
      </c>
      <c r="B11" s="11" t="s">
        <v>125</v>
      </c>
      <c r="C11" s="11" t="s">
        <v>2</v>
      </c>
      <c r="D11" s="13" t="s">
        <v>31</v>
      </c>
      <c r="E11" s="14">
        <v>2376000</v>
      </c>
      <c r="F11" s="15">
        <v>44686</v>
      </c>
      <c r="G11" s="16">
        <v>48</v>
      </c>
      <c r="H11" s="5" t="s">
        <v>138</v>
      </c>
      <c r="I11" s="5">
        <f t="shared" si="0"/>
        <v>23760</v>
      </c>
      <c r="J11" s="17" t="s">
        <v>149</v>
      </c>
    </row>
    <row r="12" spans="1:10" s="18" customFormat="1" ht="20.25" customHeight="1" x14ac:dyDescent="0.25">
      <c r="A12" s="12" t="s">
        <v>25</v>
      </c>
      <c r="B12" s="11" t="s">
        <v>125</v>
      </c>
      <c r="C12" s="11" t="s">
        <v>2</v>
      </c>
      <c r="D12" s="13" t="s">
        <v>32</v>
      </c>
      <c r="E12" s="14">
        <v>2376000</v>
      </c>
      <c r="F12" s="15">
        <v>44686</v>
      </c>
      <c r="G12" s="16">
        <v>48</v>
      </c>
      <c r="H12" s="5" t="s">
        <v>138</v>
      </c>
      <c r="I12" s="5">
        <f t="shared" si="0"/>
        <v>23760</v>
      </c>
      <c r="J12" s="17" t="s">
        <v>149</v>
      </c>
    </row>
    <row r="13" spans="1:10" s="18" customFormat="1" ht="20.25" customHeight="1" x14ac:dyDescent="0.25">
      <c r="A13" s="12" t="s">
        <v>26</v>
      </c>
      <c r="B13" s="11" t="s">
        <v>125</v>
      </c>
      <c r="C13" s="11" t="s">
        <v>2</v>
      </c>
      <c r="D13" s="13" t="s">
        <v>33</v>
      </c>
      <c r="E13" s="14">
        <v>2376000</v>
      </c>
      <c r="F13" s="15">
        <v>44686</v>
      </c>
      <c r="G13" s="16">
        <v>48</v>
      </c>
      <c r="H13" s="5" t="s">
        <v>138</v>
      </c>
      <c r="I13" s="5">
        <f t="shared" si="0"/>
        <v>23760</v>
      </c>
      <c r="J13" s="17" t="s">
        <v>149</v>
      </c>
    </row>
    <row r="14" spans="1:10" s="18" customFormat="1" ht="15.75" customHeight="1" x14ac:dyDescent="0.25">
      <c r="A14" s="12" t="s">
        <v>28</v>
      </c>
      <c r="B14" s="11" t="s">
        <v>9</v>
      </c>
      <c r="C14" s="11" t="s">
        <v>1</v>
      </c>
      <c r="D14" s="13" t="s">
        <v>34</v>
      </c>
      <c r="E14" s="14">
        <v>1176000</v>
      </c>
      <c r="F14" s="15">
        <v>44706</v>
      </c>
      <c r="G14" s="16">
        <v>48</v>
      </c>
      <c r="H14" s="5" t="s">
        <v>138</v>
      </c>
      <c r="I14" s="5">
        <f t="shared" si="0"/>
        <v>11760</v>
      </c>
      <c r="J14" s="17" t="s">
        <v>150</v>
      </c>
    </row>
    <row r="15" spans="1:10" s="18" customFormat="1" ht="15" customHeight="1" x14ac:dyDescent="0.25">
      <c r="A15" s="12" t="s">
        <v>30</v>
      </c>
      <c r="B15" s="11" t="s">
        <v>125</v>
      </c>
      <c r="C15" s="11" t="s">
        <v>1</v>
      </c>
      <c r="D15" s="13" t="s">
        <v>29</v>
      </c>
      <c r="E15" s="14">
        <v>960000</v>
      </c>
      <c r="F15" s="15">
        <v>44617</v>
      </c>
      <c r="G15" s="16">
        <v>48</v>
      </c>
      <c r="H15" s="5" t="s">
        <v>138</v>
      </c>
      <c r="I15" s="5">
        <f t="shared" si="0"/>
        <v>9600</v>
      </c>
      <c r="J15" s="17" t="s">
        <v>143</v>
      </c>
    </row>
    <row r="16" spans="1:10" s="18" customFormat="1" ht="19.5" customHeight="1" x14ac:dyDescent="0.25">
      <c r="A16" s="12" t="s">
        <v>46</v>
      </c>
      <c r="B16" s="11" t="s">
        <v>126</v>
      </c>
      <c r="C16" s="11" t="s">
        <v>4</v>
      </c>
      <c r="D16" s="13" t="s">
        <v>45</v>
      </c>
      <c r="E16" s="14">
        <v>2772000</v>
      </c>
      <c r="F16" s="15">
        <v>44656</v>
      </c>
      <c r="G16" s="16">
        <v>48</v>
      </c>
      <c r="H16" s="5" t="s">
        <v>138</v>
      </c>
      <c r="I16" s="5">
        <f t="shared" si="0"/>
        <v>27720</v>
      </c>
      <c r="J16" s="17" t="s">
        <v>151</v>
      </c>
    </row>
    <row r="17" spans="1:10" s="18" customFormat="1" ht="19.5" customHeight="1" x14ac:dyDescent="0.25">
      <c r="A17" s="12" t="s">
        <v>37</v>
      </c>
      <c r="B17" s="11" t="s">
        <v>10</v>
      </c>
      <c r="C17" s="11" t="s">
        <v>0</v>
      </c>
      <c r="D17" s="13" t="s">
        <v>35</v>
      </c>
      <c r="E17" s="14">
        <v>2376000</v>
      </c>
      <c r="F17" s="15">
        <v>44722</v>
      </c>
      <c r="G17" s="16">
        <v>48</v>
      </c>
      <c r="H17" s="5" t="s">
        <v>138</v>
      </c>
      <c r="I17" s="5">
        <f t="shared" si="0"/>
        <v>23760</v>
      </c>
      <c r="J17" s="17" t="s">
        <v>149</v>
      </c>
    </row>
    <row r="18" spans="1:10" s="18" customFormat="1" ht="21.75" customHeight="1" x14ac:dyDescent="0.25">
      <c r="A18" s="12" t="s">
        <v>38</v>
      </c>
      <c r="B18" s="11" t="s">
        <v>10</v>
      </c>
      <c r="C18" s="11" t="s">
        <v>0</v>
      </c>
      <c r="D18" s="13" t="s">
        <v>36</v>
      </c>
      <c r="E18" s="14">
        <v>2376000</v>
      </c>
      <c r="F18" s="15">
        <v>44722</v>
      </c>
      <c r="G18" s="16">
        <v>48</v>
      </c>
      <c r="H18" s="5" t="s">
        <v>138</v>
      </c>
      <c r="I18" s="5">
        <f t="shared" si="0"/>
        <v>23760</v>
      </c>
      <c r="J18" s="17" t="s">
        <v>149</v>
      </c>
    </row>
    <row r="19" spans="1:10" s="18" customFormat="1" ht="23.25" customHeight="1" x14ac:dyDescent="0.25">
      <c r="A19" s="12" t="s">
        <v>40</v>
      </c>
      <c r="B19" s="11" t="s">
        <v>9</v>
      </c>
      <c r="C19" s="11" t="s">
        <v>1</v>
      </c>
      <c r="D19" s="13" t="s">
        <v>39</v>
      </c>
      <c r="E19" s="14">
        <v>126987</v>
      </c>
      <c r="F19" s="15">
        <v>44706</v>
      </c>
      <c r="G19" s="16">
        <v>48</v>
      </c>
      <c r="H19" s="5" t="s">
        <v>138</v>
      </c>
      <c r="I19" s="5">
        <f t="shared" si="0"/>
        <v>1269.8700000000001</v>
      </c>
      <c r="J19" s="17" t="s">
        <v>152</v>
      </c>
    </row>
    <row r="20" spans="1:10" s="18" customFormat="1" ht="21" customHeight="1" x14ac:dyDescent="0.25">
      <c r="A20" s="12" t="s">
        <v>42</v>
      </c>
      <c r="B20" s="11" t="s">
        <v>9</v>
      </c>
      <c r="C20" s="11" t="s">
        <v>1</v>
      </c>
      <c r="D20" s="13" t="s">
        <v>41</v>
      </c>
      <c r="E20" s="14">
        <v>3096062.5</v>
      </c>
      <c r="F20" s="15">
        <v>44839</v>
      </c>
      <c r="G20" s="16">
        <v>48</v>
      </c>
      <c r="H20" s="5" t="s">
        <v>138</v>
      </c>
      <c r="I20" s="5">
        <f t="shared" si="0"/>
        <v>30960.625</v>
      </c>
      <c r="J20" s="17" t="s">
        <v>153</v>
      </c>
    </row>
    <row r="21" spans="1:10" s="18" customFormat="1" ht="18.75" customHeight="1" x14ac:dyDescent="0.25">
      <c r="A21" s="12" t="s">
        <v>44</v>
      </c>
      <c r="B21" s="11" t="s">
        <v>9</v>
      </c>
      <c r="C21" s="11" t="s">
        <v>1</v>
      </c>
      <c r="D21" s="13" t="s">
        <v>43</v>
      </c>
      <c r="E21" s="14">
        <v>672000</v>
      </c>
      <c r="F21" s="15">
        <v>44747</v>
      </c>
      <c r="G21" s="16">
        <v>48</v>
      </c>
      <c r="H21" s="5" t="s">
        <v>138</v>
      </c>
      <c r="I21" s="5">
        <f t="shared" si="0"/>
        <v>6720</v>
      </c>
      <c r="J21" s="17" t="s">
        <v>154</v>
      </c>
    </row>
    <row r="22" spans="1:10" s="18" customFormat="1" ht="18" customHeight="1" x14ac:dyDescent="0.25">
      <c r="A22" s="12" t="s">
        <v>47</v>
      </c>
      <c r="B22" s="11" t="s">
        <v>125</v>
      </c>
      <c r="C22" s="11" t="s">
        <v>2</v>
      </c>
      <c r="D22" s="13" t="s">
        <v>48</v>
      </c>
      <c r="E22" s="14">
        <v>154800</v>
      </c>
      <c r="F22" s="15">
        <v>44936</v>
      </c>
      <c r="G22" s="16">
        <v>48</v>
      </c>
      <c r="H22" s="5" t="s">
        <v>138</v>
      </c>
      <c r="I22" s="5">
        <f t="shared" si="0"/>
        <v>1548</v>
      </c>
      <c r="J22" s="17" t="s">
        <v>155</v>
      </c>
    </row>
    <row r="23" spans="1:10" s="18" customFormat="1" ht="24" customHeight="1" x14ac:dyDescent="0.25">
      <c r="A23" s="12" t="s">
        <v>50</v>
      </c>
      <c r="B23" s="11" t="s">
        <v>126</v>
      </c>
      <c r="C23" s="11" t="s">
        <v>4</v>
      </c>
      <c r="D23" s="13" t="s">
        <v>49</v>
      </c>
      <c r="E23" s="14">
        <v>251037</v>
      </c>
      <c r="F23" s="15">
        <v>45026</v>
      </c>
      <c r="G23" s="16">
        <v>48</v>
      </c>
      <c r="H23" s="5" t="s">
        <v>138</v>
      </c>
      <c r="I23" s="5">
        <f t="shared" si="0"/>
        <v>2510.37</v>
      </c>
      <c r="J23" s="17" t="s">
        <v>156</v>
      </c>
    </row>
    <row r="24" spans="1:10" s="18" customFormat="1" ht="22.5" customHeight="1" x14ac:dyDescent="0.25">
      <c r="A24" s="12" t="s">
        <v>52</v>
      </c>
      <c r="B24" s="4" t="s">
        <v>10</v>
      </c>
      <c r="C24" s="4" t="s">
        <v>0</v>
      </c>
      <c r="D24" s="13" t="s">
        <v>51</v>
      </c>
      <c r="E24" s="14">
        <v>288000</v>
      </c>
      <c r="F24" s="15">
        <v>45108</v>
      </c>
      <c r="G24" s="16">
        <v>48</v>
      </c>
      <c r="H24" s="5" t="s">
        <v>138</v>
      </c>
      <c r="I24" s="5">
        <f t="shared" si="0"/>
        <v>2880</v>
      </c>
      <c r="J24" s="17" t="s">
        <v>157</v>
      </c>
    </row>
    <row r="25" spans="1:10" s="18" customFormat="1" ht="15.75" customHeight="1" x14ac:dyDescent="0.25">
      <c r="A25" s="12" t="s">
        <v>54</v>
      </c>
      <c r="B25" s="4" t="s">
        <v>10</v>
      </c>
      <c r="C25" s="4" t="s">
        <v>0</v>
      </c>
      <c r="D25" s="13" t="s">
        <v>53</v>
      </c>
      <c r="E25" s="14">
        <v>1800000</v>
      </c>
      <c r="F25" s="15">
        <v>45139</v>
      </c>
      <c r="G25" s="16">
        <v>48</v>
      </c>
      <c r="H25" s="5" t="s">
        <v>138</v>
      </c>
      <c r="I25" s="5">
        <f t="shared" si="0"/>
        <v>18000</v>
      </c>
      <c r="J25" s="17" t="s">
        <v>158</v>
      </c>
    </row>
    <row r="26" spans="1:10" s="18" customFormat="1" ht="12.75" customHeight="1" x14ac:dyDescent="0.25">
      <c r="A26" s="12" t="s">
        <v>56</v>
      </c>
      <c r="B26" s="4" t="s">
        <v>10</v>
      </c>
      <c r="C26" s="4" t="s">
        <v>0</v>
      </c>
      <c r="D26" s="13" t="s">
        <v>55</v>
      </c>
      <c r="E26" s="14">
        <v>350145.8</v>
      </c>
      <c r="F26" s="15">
        <v>45148</v>
      </c>
      <c r="G26" s="16">
        <v>48</v>
      </c>
      <c r="H26" s="5" t="s">
        <v>138</v>
      </c>
      <c r="I26" s="5">
        <f t="shared" si="0"/>
        <v>3501.4580000000001</v>
      </c>
      <c r="J26" s="17" t="s">
        <v>159</v>
      </c>
    </row>
    <row r="27" spans="1:10" s="18" customFormat="1" ht="15" customHeight="1" x14ac:dyDescent="0.25">
      <c r="A27" s="12" t="s">
        <v>59</v>
      </c>
      <c r="B27" s="4" t="s">
        <v>10</v>
      </c>
      <c r="C27" s="4" t="s">
        <v>0</v>
      </c>
      <c r="D27" s="13" t="s">
        <v>58</v>
      </c>
      <c r="E27" s="14">
        <v>660000</v>
      </c>
      <c r="F27" s="15">
        <v>45184</v>
      </c>
      <c r="G27" s="16">
        <v>48</v>
      </c>
      <c r="H27" s="5" t="s">
        <v>138</v>
      </c>
      <c r="I27" s="5">
        <f t="shared" si="0"/>
        <v>6600</v>
      </c>
      <c r="J27" s="17" t="s">
        <v>160</v>
      </c>
    </row>
    <row r="28" spans="1:10" s="18" customFormat="1" ht="21" customHeight="1" x14ac:dyDescent="0.25">
      <c r="A28" s="12" t="s">
        <v>62</v>
      </c>
      <c r="B28" s="4" t="s">
        <v>126</v>
      </c>
      <c r="C28" s="4" t="s">
        <v>4</v>
      </c>
      <c r="D28" s="13" t="s">
        <v>57</v>
      </c>
      <c r="E28" s="14">
        <v>321545</v>
      </c>
      <c r="F28" s="15">
        <v>45219</v>
      </c>
      <c r="G28" s="16">
        <v>48</v>
      </c>
      <c r="H28" s="5" t="s">
        <v>138</v>
      </c>
      <c r="I28" s="5">
        <f t="shared" si="0"/>
        <v>3215.4500000000003</v>
      </c>
      <c r="J28" s="17" t="s">
        <v>161</v>
      </c>
    </row>
    <row r="29" spans="1:10" s="18" customFormat="1" ht="27.75" customHeight="1" x14ac:dyDescent="0.25">
      <c r="A29" s="12" t="s">
        <v>61</v>
      </c>
      <c r="B29" s="4" t="s">
        <v>126</v>
      </c>
      <c r="C29" s="4" t="s">
        <v>4</v>
      </c>
      <c r="D29" s="13" t="s">
        <v>60</v>
      </c>
      <c r="E29" s="14">
        <v>321545</v>
      </c>
      <c r="F29" s="15">
        <v>45255</v>
      </c>
      <c r="G29" s="16">
        <v>48</v>
      </c>
      <c r="H29" s="5" t="s">
        <v>138</v>
      </c>
      <c r="I29" s="5">
        <f t="shared" si="0"/>
        <v>3215.4500000000003</v>
      </c>
      <c r="J29" s="17" t="s">
        <v>161</v>
      </c>
    </row>
    <row r="30" spans="1:10" s="18" customFormat="1" ht="20.25" customHeight="1" x14ac:dyDescent="0.25">
      <c r="A30" s="12" t="s">
        <v>63</v>
      </c>
      <c r="B30" s="4" t="s">
        <v>10</v>
      </c>
      <c r="C30" s="4" t="s">
        <v>0</v>
      </c>
      <c r="D30" s="13" t="s">
        <v>60</v>
      </c>
      <c r="E30" s="14">
        <v>316145</v>
      </c>
      <c r="F30" s="15">
        <v>45240</v>
      </c>
      <c r="G30" s="16">
        <v>48</v>
      </c>
      <c r="H30" s="5" t="s">
        <v>138</v>
      </c>
      <c r="I30" s="5">
        <f t="shared" si="0"/>
        <v>3161.4500000000003</v>
      </c>
      <c r="J30" s="17" t="s">
        <v>162</v>
      </c>
    </row>
    <row r="31" spans="1:10" s="18" customFormat="1" ht="26.25" customHeight="1" x14ac:dyDescent="0.25">
      <c r="A31" s="12" t="s">
        <v>68</v>
      </c>
      <c r="B31" s="4" t="s">
        <v>127</v>
      </c>
      <c r="C31" s="4" t="s">
        <v>67</v>
      </c>
      <c r="D31" s="13" t="s">
        <v>64</v>
      </c>
      <c r="E31" s="14">
        <v>1500000</v>
      </c>
      <c r="F31" s="15">
        <v>45275</v>
      </c>
      <c r="G31" s="16">
        <v>48</v>
      </c>
      <c r="H31" s="5" t="s">
        <v>138</v>
      </c>
      <c r="I31" s="5">
        <f t="shared" si="0"/>
        <v>15000</v>
      </c>
      <c r="J31" s="17" t="s">
        <v>163</v>
      </c>
    </row>
    <row r="32" spans="1:10" s="18" customFormat="1" ht="29.25" customHeight="1" x14ac:dyDescent="0.25">
      <c r="A32" s="12" t="s">
        <v>66</v>
      </c>
      <c r="B32" s="4" t="s">
        <v>127</v>
      </c>
      <c r="C32" s="4" t="s">
        <v>67</v>
      </c>
      <c r="D32" s="13" t="s">
        <v>65</v>
      </c>
      <c r="E32" s="14">
        <v>1296000</v>
      </c>
      <c r="F32" s="15">
        <v>45285</v>
      </c>
      <c r="G32" s="16">
        <v>48</v>
      </c>
      <c r="H32" s="5" t="s">
        <v>138</v>
      </c>
      <c r="I32" s="5">
        <f t="shared" si="0"/>
        <v>12960</v>
      </c>
      <c r="J32" s="17" t="s">
        <v>164</v>
      </c>
    </row>
    <row r="33" spans="1:10" s="18" customFormat="1" ht="23.25" customHeight="1" x14ac:dyDescent="0.25">
      <c r="A33" s="12" t="s">
        <v>72</v>
      </c>
      <c r="B33" s="4" t="s">
        <v>10</v>
      </c>
      <c r="C33" s="4" t="s">
        <v>0</v>
      </c>
      <c r="D33" s="13" t="s">
        <v>71</v>
      </c>
      <c r="E33" s="14">
        <v>169299.01</v>
      </c>
      <c r="F33" s="15">
        <v>45332</v>
      </c>
      <c r="G33" s="16">
        <v>48</v>
      </c>
      <c r="H33" s="5" t="s">
        <v>138</v>
      </c>
      <c r="I33" s="5">
        <f t="shared" si="0"/>
        <v>1692.9901000000002</v>
      </c>
      <c r="J33" s="17" t="s">
        <v>165</v>
      </c>
    </row>
    <row r="34" spans="1:10" s="18" customFormat="1" ht="18.75" customHeight="1" x14ac:dyDescent="0.25">
      <c r="A34" s="12" t="s">
        <v>74</v>
      </c>
      <c r="B34" s="4" t="s">
        <v>10</v>
      </c>
      <c r="C34" s="4" t="s">
        <v>0</v>
      </c>
      <c r="D34" s="13" t="s">
        <v>73</v>
      </c>
      <c r="E34" s="14">
        <v>643200</v>
      </c>
      <c r="F34" s="15">
        <v>45332</v>
      </c>
      <c r="G34" s="16">
        <v>48</v>
      </c>
      <c r="H34" s="5" t="s">
        <v>138</v>
      </c>
      <c r="I34" s="5">
        <f t="shared" si="0"/>
        <v>6432</v>
      </c>
      <c r="J34" s="17" t="s">
        <v>166</v>
      </c>
    </row>
    <row r="35" spans="1:10" s="18" customFormat="1" ht="24.75" customHeight="1" x14ac:dyDescent="0.25">
      <c r="A35" s="12" t="s">
        <v>80</v>
      </c>
      <c r="B35" s="4" t="s">
        <v>126</v>
      </c>
      <c r="C35" s="4" t="s">
        <v>4</v>
      </c>
      <c r="D35" s="13" t="s">
        <v>79</v>
      </c>
      <c r="E35" s="14">
        <v>1104000</v>
      </c>
      <c r="F35" s="15">
        <v>45361</v>
      </c>
      <c r="G35" s="16">
        <v>48</v>
      </c>
      <c r="H35" s="5" t="s">
        <v>138</v>
      </c>
      <c r="I35" s="5">
        <f t="shared" si="0"/>
        <v>11040</v>
      </c>
      <c r="J35" s="17" t="s">
        <v>167</v>
      </c>
    </row>
    <row r="36" spans="1:10" s="18" customFormat="1" ht="24" customHeight="1" x14ac:dyDescent="0.25">
      <c r="A36" s="12" t="s">
        <v>69</v>
      </c>
      <c r="B36" s="4" t="s">
        <v>10</v>
      </c>
      <c r="C36" s="4" t="s">
        <v>0</v>
      </c>
      <c r="D36" s="13" t="s">
        <v>97</v>
      </c>
      <c r="E36" s="14">
        <v>648000</v>
      </c>
      <c r="F36" s="15">
        <v>45383</v>
      </c>
      <c r="G36" s="16">
        <v>48</v>
      </c>
      <c r="H36" s="5" t="s">
        <v>138</v>
      </c>
      <c r="I36" s="5">
        <f t="shared" si="0"/>
        <v>6480</v>
      </c>
      <c r="J36" s="17" t="s">
        <v>168</v>
      </c>
    </row>
    <row r="37" spans="1:10" s="18" customFormat="1" ht="21.75" customHeight="1" x14ac:dyDescent="0.25">
      <c r="A37" s="12" t="s">
        <v>70</v>
      </c>
      <c r="B37" s="4" t="s">
        <v>10</v>
      </c>
      <c r="C37" s="4" t="s">
        <v>0</v>
      </c>
      <c r="D37" s="13" t="s">
        <v>98</v>
      </c>
      <c r="E37" s="14">
        <v>1500000</v>
      </c>
      <c r="F37" s="15">
        <v>45383</v>
      </c>
      <c r="G37" s="16">
        <v>48</v>
      </c>
      <c r="H37" s="5" t="s">
        <v>138</v>
      </c>
      <c r="I37" s="5">
        <f t="shared" si="0"/>
        <v>15000</v>
      </c>
      <c r="J37" s="17" t="s">
        <v>169</v>
      </c>
    </row>
    <row r="38" spans="1:10" s="18" customFormat="1" ht="25.5" customHeight="1" x14ac:dyDescent="0.25">
      <c r="A38" s="12" t="s">
        <v>76</v>
      </c>
      <c r="B38" s="4" t="s">
        <v>127</v>
      </c>
      <c r="C38" s="4" t="s">
        <v>67</v>
      </c>
      <c r="D38" s="13" t="s">
        <v>75</v>
      </c>
      <c r="E38" s="14">
        <v>5580000</v>
      </c>
      <c r="F38" s="15">
        <v>45387</v>
      </c>
      <c r="G38" s="16">
        <v>48</v>
      </c>
      <c r="H38" s="5" t="s">
        <v>138</v>
      </c>
      <c r="I38" s="5">
        <f t="shared" si="0"/>
        <v>55800</v>
      </c>
      <c r="J38" s="17" t="s">
        <v>170</v>
      </c>
    </row>
    <row r="39" spans="1:10" s="18" customFormat="1" ht="21" customHeight="1" x14ac:dyDescent="0.25">
      <c r="A39" s="12" t="s">
        <v>82</v>
      </c>
      <c r="B39" s="4" t="s">
        <v>126</v>
      </c>
      <c r="C39" s="4" t="s">
        <v>4</v>
      </c>
      <c r="D39" s="13" t="s">
        <v>81</v>
      </c>
      <c r="E39" s="14">
        <v>216000</v>
      </c>
      <c r="F39" s="15">
        <v>45407</v>
      </c>
      <c r="G39" s="16">
        <v>48</v>
      </c>
      <c r="H39" s="5" t="s">
        <v>138</v>
      </c>
      <c r="I39" s="5">
        <f t="shared" si="0"/>
        <v>2160</v>
      </c>
      <c r="J39" s="17" t="s">
        <v>171</v>
      </c>
    </row>
    <row r="40" spans="1:10" s="18" customFormat="1" ht="21.75" customHeight="1" x14ac:dyDescent="0.25">
      <c r="A40" s="12" t="s">
        <v>85</v>
      </c>
      <c r="B40" s="4" t="s">
        <v>10</v>
      </c>
      <c r="C40" s="4" t="s">
        <v>0</v>
      </c>
      <c r="D40" s="13" t="s">
        <v>86</v>
      </c>
      <c r="E40" s="19">
        <v>174739</v>
      </c>
      <c r="F40" s="15">
        <v>45474</v>
      </c>
      <c r="G40" s="16">
        <v>48</v>
      </c>
      <c r="H40" s="5" t="s">
        <v>138</v>
      </c>
      <c r="I40" s="5">
        <f t="shared" si="0"/>
        <v>1747.39</v>
      </c>
      <c r="J40" s="17" t="s">
        <v>172</v>
      </c>
    </row>
    <row r="41" spans="1:10" s="18" customFormat="1" ht="21" customHeight="1" x14ac:dyDescent="0.25">
      <c r="A41" s="20" t="s">
        <v>96</v>
      </c>
      <c r="B41" s="4" t="s">
        <v>10</v>
      </c>
      <c r="C41" s="4" t="s">
        <v>0</v>
      </c>
      <c r="D41" s="13" t="s">
        <v>87</v>
      </c>
      <c r="E41" s="19">
        <v>5905420</v>
      </c>
      <c r="F41" s="15">
        <v>45627</v>
      </c>
      <c r="G41" s="16">
        <v>48</v>
      </c>
      <c r="H41" s="5" t="s">
        <v>138</v>
      </c>
      <c r="I41" s="5">
        <f t="shared" si="0"/>
        <v>59054.200000000004</v>
      </c>
      <c r="J41" s="17" t="s">
        <v>173</v>
      </c>
    </row>
    <row r="42" spans="1:10" s="18" customFormat="1" ht="25.5" customHeight="1" x14ac:dyDescent="0.25">
      <c r="A42" s="12" t="s">
        <v>128</v>
      </c>
      <c r="B42" s="4" t="s">
        <v>126</v>
      </c>
      <c r="C42" s="4" t="s">
        <v>3</v>
      </c>
      <c r="D42" s="13" t="s">
        <v>88</v>
      </c>
      <c r="E42" s="19">
        <v>7381775</v>
      </c>
      <c r="F42" s="15">
        <v>45672</v>
      </c>
      <c r="G42" s="16">
        <v>48</v>
      </c>
      <c r="H42" s="5" t="s">
        <v>138</v>
      </c>
      <c r="I42" s="5">
        <f t="shared" si="0"/>
        <v>73817.75</v>
      </c>
      <c r="J42" s="17" t="s">
        <v>174</v>
      </c>
    </row>
    <row r="43" spans="1:10" s="18" customFormat="1" ht="21.75" customHeight="1" x14ac:dyDescent="0.25">
      <c r="A43" s="21" t="s">
        <v>94</v>
      </c>
      <c r="B43" s="5" t="s">
        <v>9</v>
      </c>
      <c r="C43" s="5" t="s">
        <v>1</v>
      </c>
      <c r="D43" s="22" t="s">
        <v>90</v>
      </c>
      <c r="E43" s="19">
        <v>268800</v>
      </c>
      <c r="F43" s="15">
        <v>45682</v>
      </c>
      <c r="G43" s="23">
        <v>48</v>
      </c>
      <c r="H43" s="5" t="s">
        <v>138</v>
      </c>
      <c r="I43" s="5">
        <f t="shared" si="0"/>
        <v>2688</v>
      </c>
      <c r="J43" s="17" t="s">
        <v>175</v>
      </c>
    </row>
    <row r="44" spans="1:10" s="18" customFormat="1" x14ac:dyDescent="0.25">
      <c r="A44" s="21" t="s">
        <v>100</v>
      </c>
      <c r="B44" s="5" t="s">
        <v>10</v>
      </c>
      <c r="C44" s="5" t="s">
        <v>0</v>
      </c>
      <c r="D44" s="24" t="s">
        <v>99</v>
      </c>
      <c r="E44" s="19">
        <v>329096</v>
      </c>
      <c r="F44" s="15">
        <v>45752</v>
      </c>
      <c r="G44" s="23">
        <v>48</v>
      </c>
      <c r="H44" s="5" t="s">
        <v>138</v>
      </c>
      <c r="I44" s="5">
        <f t="shared" si="0"/>
        <v>3290.96</v>
      </c>
      <c r="J44" s="17" t="s">
        <v>176</v>
      </c>
    </row>
    <row r="45" spans="1:10" s="18" customFormat="1" ht="18" customHeight="1" x14ac:dyDescent="0.25">
      <c r="A45" s="21" t="s">
        <v>102</v>
      </c>
      <c r="B45" s="5" t="s">
        <v>10</v>
      </c>
      <c r="C45" s="5" t="s">
        <v>0</v>
      </c>
      <c r="D45" s="25" t="s">
        <v>101</v>
      </c>
      <c r="E45" s="19">
        <v>1643714.4</v>
      </c>
      <c r="F45" s="15">
        <v>45748</v>
      </c>
      <c r="G45" s="23">
        <v>48</v>
      </c>
      <c r="H45" s="5" t="s">
        <v>138</v>
      </c>
      <c r="I45" s="5">
        <f t="shared" si="0"/>
        <v>16437.144</v>
      </c>
      <c r="J45" s="17" t="s">
        <v>177</v>
      </c>
    </row>
    <row r="46" spans="1:10" s="18" customFormat="1" ht="21" customHeight="1" x14ac:dyDescent="0.25">
      <c r="A46" s="21" t="s">
        <v>104</v>
      </c>
      <c r="B46" s="5" t="s">
        <v>10</v>
      </c>
      <c r="C46" s="5" t="s">
        <v>0</v>
      </c>
      <c r="D46" s="25" t="s">
        <v>103</v>
      </c>
      <c r="E46" s="19">
        <v>3000000</v>
      </c>
      <c r="F46" s="15">
        <v>45787</v>
      </c>
      <c r="G46" s="23">
        <v>48</v>
      </c>
      <c r="H46" s="5" t="s">
        <v>138</v>
      </c>
      <c r="I46" s="5">
        <f t="shared" si="0"/>
        <v>30000</v>
      </c>
      <c r="J46" s="17" t="s">
        <v>178</v>
      </c>
    </row>
    <row r="47" spans="1:10" s="18" customFormat="1" ht="15.75" customHeight="1" x14ac:dyDescent="0.25">
      <c r="A47" s="21" t="s">
        <v>118</v>
      </c>
      <c r="B47" s="5" t="s">
        <v>126</v>
      </c>
      <c r="C47" s="5" t="s">
        <v>4</v>
      </c>
      <c r="D47" s="25" t="s">
        <v>117</v>
      </c>
      <c r="E47" s="19">
        <v>319496</v>
      </c>
      <c r="F47" s="15">
        <v>45809</v>
      </c>
      <c r="G47" s="23">
        <v>48</v>
      </c>
      <c r="H47" s="5" t="s">
        <v>138</v>
      </c>
      <c r="I47" s="5">
        <f t="shared" si="0"/>
        <v>3194.96</v>
      </c>
      <c r="J47" s="17" t="s">
        <v>179</v>
      </c>
    </row>
    <row r="48" spans="1:10" s="18" customFormat="1" ht="15" customHeight="1" x14ac:dyDescent="0.25">
      <c r="A48" s="21" t="s">
        <v>116</v>
      </c>
      <c r="B48" s="5" t="s">
        <v>126</v>
      </c>
      <c r="C48" s="5" t="s">
        <v>4</v>
      </c>
      <c r="D48" s="25" t="s">
        <v>115</v>
      </c>
      <c r="E48" s="19">
        <v>157840</v>
      </c>
      <c r="F48" s="15">
        <v>45809</v>
      </c>
      <c r="G48" s="23">
        <v>48</v>
      </c>
      <c r="H48" s="5" t="s">
        <v>138</v>
      </c>
      <c r="I48" s="5">
        <f t="shared" si="0"/>
        <v>1578.4</v>
      </c>
      <c r="J48" s="17" t="s">
        <v>180</v>
      </c>
    </row>
    <row r="49" spans="1:10" s="18" customFormat="1" ht="26.25" customHeight="1" x14ac:dyDescent="0.25">
      <c r="A49" s="21" t="s">
        <v>114</v>
      </c>
      <c r="B49" s="5" t="s">
        <v>126</v>
      </c>
      <c r="C49" s="5" t="s">
        <v>4</v>
      </c>
      <c r="D49" s="25" t="s">
        <v>113</v>
      </c>
      <c r="E49" s="19">
        <v>157840</v>
      </c>
      <c r="F49" s="15">
        <v>45809</v>
      </c>
      <c r="G49" s="23">
        <v>48</v>
      </c>
      <c r="H49" s="5" t="s">
        <v>138</v>
      </c>
      <c r="I49" s="5">
        <f t="shared" si="0"/>
        <v>1578.4</v>
      </c>
      <c r="J49" s="17" t="s">
        <v>180</v>
      </c>
    </row>
    <row r="50" spans="1:10" s="18" customFormat="1" ht="22.5" customHeight="1" x14ac:dyDescent="0.25">
      <c r="A50" s="21" t="s">
        <v>110</v>
      </c>
      <c r="B50" s="5" t="s">
        <v>126</v>
      </c>
      <c r="C50" s="5" t="s">
        <v>4</v>
      </c>
      <c r="D50" s="25" t="s">
        <v>109</v>
      </c>
      <c r="E50" s="19">
        <v>438000</v>
      </c>
      <c r="F50" s="15">
        <v>45809</v>
      </c>
      <c r="G50" s="23">
        <v>48</v>
      </c>
      <c r="H50" s="5" t="s">
        <v>138</v>
      </c>
      <c r="I50" s="5">
        <f t="shared" si="0"/>
        <v>4380</v>
      </c>
      <c r="J50" s="17" t="s">
        <v>181</v>
      </c>
    </row>
    <row r="51" spans="1:10" s="18" customFormat="1" ht="25.5" customHeight="1" x14ac:dyDescent="0.25">
      <c r="A51" s="21" t="s">
        <v>112</v>
      </c>
      <c r="B51" s="5" t="s">
        <v>126</v>
      </c>
      <c r="C51" s="5" t="s">
        <v>4</v>
      </c>
      <c r="D51" s="25" t="s">
        <v>111</v>
      </c>
      <c r="E51" s="19">
        <v>180000</v>
      </c>
      <c r="F51" s="15">
        <v>45809</v>
      </c>
      <c r="G51" s="23">
        <v>48</v>
      </c>
      <c r="H51" s="5" t="s">
        <v>138</v>
      </c>
      <c r="I51" s="5">
        <f t="shared" si="0"/>
        <v>1800</v>
      </c>
      <c r="J51" s="17" t="s">
        <v>182</v>
      </c>
    </row>
    <row r="52" spans="1:10" s="18" customFormat="1" ht="22.5" customHeight="1" x14ac:dyDescent="0.25">
      <c r="A52" s="21" t="s">
        <v>122</v>
      </c>
      <c r="B52" s="5" t="s">
        <v>127</v>
      </c>
      <c r="C52" s="5" t="s">
        <v>67</v>
      </c>
      <c r="D52" s="25" t="s">
        <v>121</v>
      </c>
      <c r="E52" s="19">
        <v>3600000</v>
      </c>
      <c r="F52" s="15">
        <v>45833</v>
      </c>
      <c r="G52" s="23">
        <v>48</v>
      </c>
      <c r="H52" s="5" t="s">
        <v>138</v>
      </c>
      <c r="I52" s="5">
        <f t="shared" si="0"/>
        <v>36000</v>
      </c>
      <c r="J52" s="17" t="s">
        <v>183</v>
      </c>
    </row>
    <row r="53" spans="1:10" s="18" customFormat="1" ht="18" customHeight="1" x14ac:dyDescent="0.25">
      <c r="A53" s="15" t="s">
        <v>106</v>
      </c>
      <c r="B53" s="5" t="s">
        <v>10</v>
      </c>
      <c r="C53" s="5" t="s">
        <v>0</v>
      </c>
      <c r="D53" s="25" t="s">
        <v>105</v>
      </c>
      <c r="E53" s="19">
        <v>1080000</v>
      </c>
      <c r="F53" s="26">
        <v>45813</v>
      </c>
      <c r="G53" s="23">
        <v>48</v>
      </c>
      <c r="H53" s="5" t="s">
        <v>138</v>
      </c>
      <c r="I53" s="5">
        <f t="shared" si="0"/>
        <v>10800</v>
      </c>
      <c r="J53" s="17" t="s">
        <v>184</v>
      </c>
    </row>
    <row r="54" spans="1:10" s="18" customFormat="1" ht="20.25" customHeight="1" x14ac:dyDescent="0.25">
      <c r="A54" s="21" t="s">
        <v>120</v>
      </c>
      <c r="B54" s="5" t="s">
        <v>126</v>
      </c>
      <c r="C54" s="5" t="s">
        <v>4</v>
      </c>
      <c r="D54" s="25" t="s">
        <v>119</v>
      </c>
      <c r="E54" s="19">
        <v>134400</v>
      </c>
      <c r="F54" s="15">
        <v>45818</v>
      </c>
      <c r="G54" s="23">
        <v>48</v>
      </c>
      <c r="H54" s="5" t="s">
        <v>138</v>
      </c>
      <c r="I54" s="5">
        <f t="shared" si="0"/>
        <v>1344</v>
      </c>
      <c r="J54" s="17" t="s">
        <v>185</v>
      </c>
    </row>
    <row r="55" spans="1:10" s="18" customFormat="1" x14ac:dyDescent="0.25">
      <c r="A55" s="21" t="s">
        <v>93</v>
      </c>
      <c r="B55" s="5" t="s">
        <v>126</v>
      </c>
      <c r="C55" s="5" t="s">
        <v>4</v>
      </c>
      <c r="D55" s="24" t="s">
        <v>89</v>
      </c>
      <c r="E55" s="19">
        <v>7430041.2800000003</v>
      </c>
      <c r="F55" s="15">
        <v>45839</v>
      </c>
      <c r="G55" s="23">
        <v>48</v>
      </c>
      <c r="H55" s="5" t="s">
        <v>138</v>
      </c>
      <c r="I55" s="5">
        <f t="shared" si="0"/>
        <v>74300.412800000006</v>
      </c>
      <c r="J55" s="17" t="s">
        <v>186</v>
      </c>
    </row>
    <row r="56" spans="1:10" s="18" customFormat="1" x14ac:dyDescent="0.25">
      <c r="A56" s="21" t="s">
        <v>92</v>
      </c>
      <c r="B56" s="5" t="s">
        <v>126</v>
      </c>
      <c r="C56" s="5" t="s">
        <v>4</v>
      </c>
      <c r="D56" s="24" t="s">
        <v>89</v>
      </c>
      <c r="E56" s="19">
        <v>1767480</v>
      </c>
      <c r="F56" s="15">
        <v>45870</v>
      </c>
      <c r="G56" s="23">
        <v>48</v>
      </c>
      <c r="H56" s="5" t="s">
        <v>138</v>
      </c>
      <c r="I56" s="5">
        <f t="shared" si="0"/>
        <v>17674.8</v>
      </c>
      <c r="J56" s="17" t="s">
        <v>187</v>
      </c>
    </row>
    <row r="57" spans="1:10" s="18" customFormat="1" ht="24" customHeight="1" x14ac:dyDescent="0.25">
      <c r="A57" s="21" t="s">
        <v>108</v>
      </c>
      <c r="B57" s="5" t="s">
        <v>126</v>
      </c>
      <c r="C57" s="5" t="s">
        <v>4</v>
      </c>
      <c r="D57" s="25" t="s">
        <v>107</v>
      </c>
      <c r="E57" s="19">
        <v>7381775</v>
      </c>
      <c r="F57" s="15">
        <v>45966</v>
      </c>
      <c r="G57" s="23">
        <v>48</v>
      </c>
      <c r="H57" s="5" t="s">
        <v>138</v>
      </c>
      <c r="I57" s="5">
        <f t="shared" si="0"/>
        <v>73817.75</v>
      </c>
      <c r="J57" s="17" t="s">
        <v>188</v>
      </c>
    </row>
    <row r="58" spans="1:10" s="18" customFormat="1" ht="22.5" customHeight="1" x14ac:dyDescent="0.25">
      <c r="A58" s="21" t="s">
        <v>123</v>
      </c>
      <c r="B58" s="5" t="s">
        <v>10</v>
      </c>
      <c r="C58" s="5" t="s">
        <v>0</v>
      </c>
      <c r="D58" s="25" t="s">
        <v>124</v>
      </c>
      <c r="E58" s="19">
        <v>7381775</v>
      </c>
      <c r="F58" s="15">
        <v>45966</v>
      </c>
      <c r="G58" s="23">
        <v>48</v>
      </c>
      <c r="H58" s="5" t="s">
        <v>138</v>
      </c>
      <c r="I58" s="5">
        <f t="shared" si="0"/>
        <v>73817.75</v>
      </c>
      <c r="J58" s="17" t="s">
        <v>189</v>
      </c>
    </row>
    <row r="59" spans="1:10" s="18" customFormat="1" ht="28.5" customHeight="1" x14ac:dyDescent="0.25">
      <c r="A59" s="21" t="s">
        <v>95</v>
      </c>
      <c r="B59" s="5" t="s">
        <v>9</v>
      </c>
      <c r="C59" s="5" t="s">
        <v>1</v>
      </c>
      <c r="D59" s="25" t="s">
        <v>91</v>
      </c>
      <c r="E59" s="19">
        <v>5280000</v>
      </c>
      <c r="F59" s="15">
        <v>45717</v>
      </c>
      <c r="G59" s="23">
        <v>48</v>
      </c>
      <c r="H59" s="5" t="s">
        <v>138</v>
      </c>
      <c r="I59" s="5">
        <f t="shared" si="0"/>
        <v>52800</v>
      </c>
      <c r="J59" s="17" t="s">
        <v>190</v>
      </c>
    </row>
    <row r="60" spans="1:10" s="18" customFormat="1" ht="18" customHeight="1" x14ac:dyDescent="0.25">
      <c r="A60" s="12" t="s">
        <v>78</v>
      </c>
      <c r="B60" s="4" t="s">
        <v>126</v>
      </c>
      <c r="C60" s="4" t="s">
        <v>4</v>
      </c>
      <c r="D60" s="13" t="s">
        <v>77</v>
      </c>
      <c r="E60" s="14">
        <v>238616</v>
      </c>
      <c r="F60" s="15">
        <v>45412</v>
      </c>
      <c r="G60" s="16">
        <v>48</v>
      </c>
      <c r="H60" s="5" t="s">
        <v>138</v>
      </c>
      <c r="I60" s="5">
        <f t="shared" si="0"/>
        <v>2386.16</v>
      </c>
      <c r="J60" s="17" t="s">
        <v>191</v>
      </c>
    </row>
    <row r="61" spans="1:10" s="18" customFormat="1" ht="16.5" customHeight="1" x14ac:dyDescent="0.25">
      <c r="A61" s="12" t="s">
        <v>83</v>
      </c>
      <c r="B61" s="4" t="s">
        <v>126</v>
      </c>
      <c r="C61" s="4" t="s">
        <v>4</v>
      </c>
      <c r="D61" s="13" t="s">
        <v>84</v>
      </c>
      <c r="E61" s="14">
        <v>268800</v>
      </c>
      <c r="F61" s="15">
        <v>45392</v>
      </c>
      <c r="G61" s="16">
        <v>48</v>
      </c>
      <c r="H61" s="5" t="s">
        <v>138</v>
      </c>
      <c r="I61" s="5">
        <f t="shared" si="0"/>
        <v>2688</v>
      </c>
      <c r="J61" s="17" t="s">
        <v>192</v>
      </c>
    </row>
    <row r="62" spans="1:10" s="18" customFormat="1" ht="15" customHeight="1" x14ac:dyDescent="0.25">
      <c r="A62" s="12" t="s">
        <v>193</v>
      </c>
      <c r="B62" s="4" t="s">
        <v>126</v>
      </c>
      <c r="C62" s="4" t="s">
        <v>4</v>
      </c>
      <c r="D62" s="13" t="s">
        <v>194</v>
      </c>
      <c r="E62" s="27">
        <v>672000</v>
      </c>
      <c r="F62" s="15">
        <v>45407</v>
      </c>
      <c r="G62" s="17">
        <v>48</v>
      </c>
      <c r="H62" s="17" t="s">
        <v>195</v>
      </c>
      <c r="I62" s="5">
        <f t="shared" ref="I62:I77" si="1">E62*(1/100)</f>
        <v>6720</v>
      </c>
      <c r="J62" s="17" t="s">
        <v>226</v>
      </c>
    </row>
    <row r="63" spans="1:10" s="18" customFormat="1" ht="15" customHeight="1" x14ac:dyDescent="0.25">
      <c r="A63" s="12" t="s">
        <v>196</v>
      </c>
      <c r="B63" s="4" t="s">
        <v>126</v>
      </c>
      <c r="C63" s="4" t="s">
        <v>4</v>
      </c>
      <c r="D63" s="13" t="s">
        <v>197</v>
      </c>
      <c r="E63" s="27">
        <v>6336000</v>
      </c>
      <c r="F63" s="15">
        <v>45427</v>
      </c>
      <c r="G63" s="17">
        <v>48</v>
      </c>
      <c r="H63" s="17" t="s">
        <v>195</v>
      </c>
      <c r="I63" s="5">
        <f t="shared" si="1"/>
        <v>63360</v>
      </c>
      <c r="J63" s="28" t="s">
        <v>227</v>
      </c>
    </row>
    <row r="64" spans="1:10" s="18" customFormat="1" ht="15" customHeight="1" x14ac:dyDescent="0.25">
      <c r="A64" s="12" t="s">
        <v>198</v>
      </c>
      <c r="B64" s="4" t="s">
        <v>126</v>
      </c>
      <c r="C64" s="4" t="s">
        <v>4</v>
      </c>
      <c r="D64" s="13" t="s">
        <v>199</v>
      </c>
      <c r="E64" s="27">
        <v>6044025</v>
      </c>
      <c r="F64" s="15">
        <v>45443</v>
      </c>
      <c r="G64" s="17">
        <v>48</v>
      </c>
      <c r="H64" s="17" t="s">
        <v>195</v>
      </c>
      <c r="I64" s="5">
        <f t="shared" si="1"/>
        <v>60440.25</v>
      </c>
      <c r="J64" s="28" t="s">
        <v>228</v>
      </c>
    </row>
    <row r="65" spans="1:10" s="18" customFormat="1" ht="15" customHeight="1" x14ac:dyDescent="0.25">
      <c r="A65" s="12" t="s">
        <v>200</v>
      </c>
      <c r="B65" s="4" t="s">
        <v>126</v>
      </c>
      <c r="C65" s="4" t="s">
        <v>4</v>
      </c>
      <c r="D65" s="13" t="s">
        <v>201</v>
      </c>
      <c r="E65" s="27">
        <v>1140000</v>
      </c>
      <c r="F65" s="15">
        <v>45493</v>
      </c>
      <c r="G65" s="17">
        <v>48</v>
      </c>
      <c r="H65" s="17" t="s">
        <v>195</v>
      </c>
      <c r="I65" s="5">
        <f t="shared" si="1"/>
        <v>11400</v>
      </c>
      <c r="J65" s="28" t="s">
        <v>229</v>
      </c>
    </row>
    <row r="66" spans="1:10" s="18" customFormat="1" ht="15" customHeight="1" x14ac:dyDescent="0.25">
      <c r="A66" s="12" t="s">
        <v>202</v>
      </c>
      <c r="B66" s="4" t="s">
        <v>126</v>
      </c>
      <c r="C66" s="4" t="s">
        <v>4</v>
      </c>
      <c r="D66" s="13" t="s">
        <v>203</v>
      </c>
      <c r="E66" s="27">
        <v>156000</v>
      </c>
      <c r="F66" s="15">
        <v>45524</v>
      </c>
      <c r="G66" s="17">
        <v>48</v>
      </c>
      <c r="H66" s="17" t="s">
        <v>195</v>
      </c>
      <c r="I66" s="5">
        <f t="shared" si="1"/>
        <v>1560</v>
      </c>
      <c r="J66" s="17" t="s">
        <v>230</v>
      </c>
    </row>
    <row r="67" spans="1:10" s="18" customFormat="1" ht="15" customHeight="1" x14ac:dyDescent="0.25">
      <c r="A67" s="12" t="s">
        <v>204</v>
      </c>
      <c r="B67" s="4" t="s">
        <v>126</v>
      </c>
      <c r="C67" s="4" t="s">
        <v>4</v>
      </c>
      <c r="D67" s="13" t="s">
        <v>205</v>
      </c>
      <c r="E67" s="19">
        <v>2628000</v>
      </c>
      <c r="F67" s="15">
        <v>45529</v>
      </c>
      <c r="G67" s="17">
        <v>48</v>
      </c>
      <c r="H67" s="17" t="s">
        <v>195</v>
      </c>
      <c r="I67" s="5">
        <f t="shared" si="1"/>
        <v>26280</v>
      </c>
      <c r="J67" s="17" t="s">
        <v>231</v>
      </c>
    </row>
    <row r="68" spans="1:10" s="18" customFormat="1" ht="15" customHeight="1" x14ac:dyDescent="0.25">
      <c r="A68" s="12" t="s">
        <v>206</v>
      </c>
      <c r="B68" s="4" t="s">
        <v>126</v>
      </c>
      <c r="C68" s="4" t="s">
        <v>4</v>
      </c>
      <c r="D68" s="13" t="s">
        <v>225</v>
      </c>
      <c r="E68" s="27">
        <v>6044025</v>
      </c>
      <c r="F68" s="15">
        <v>45550</v>
      </c>
      <c r="G68" s="17">
        <v>48</v>
      </c>
      <c r="H68" s="17" t="s">
        <v>195</v>
      </c>
      <c r="I68" s="5">
        <f t="shared" si="1"/>
        <v>60440.25</v>
      </c>
      <c r="J68" s="17" t="s">
        <v>232</v>
      </c>
    </row>
    <row r="69" spans="1:10" s="18" customFormat="1" ht="15" customHeight="1" x14ac:dyDescent="0.25">
      <c r="A69" s="12" t="s">
        <v>207</v>
      </c>
      <c r="B69" s="4" t="s">
        <v>126</v>
      </c>
      <c r="C69" s="4" t="s">
        <v>4</v>
      </c>
      <c r="D69" s="13" t="s">
        <v>208</v>
      </c>
      <c r="E69" s="27">
        <v>1050000</v>
      </c>
      <c r="F69" s="15">
        <v>45550</v>
      </c>
      <c r="G69" s="17">
        <v>48</v>
      </c>
      <c r="H69" s="17" t="s">
        <v>195</v>
      </c>
      <c r="I69" s="5">
        <f t="shared" si="1"/>
        <v>10500</v>
      </c>
      <c r="J69" s="17" t="s">
        <v>233</v>
      </c>
    </row>
    <row r="70" spans="1:10" s="18" customFormat="1" ht="21" customHeight="1" x14ac:dyDescent="0.25">
      <c r="A70" s="20" t="s">
        <v>209</v>
      </c>
      <c r="B70" s="4" t="s">
        <v>126</v>
      </c>
      <c r="C70" s="4" t="s">
        <v>4</v>
      </c>
      <c r="D70" s="13" t="s">
        <v>210</v>
      </c>
      <c r="E70" s="19">
        <v>2952710</v>
      </c>
      <c r="F70" s="15">
        <v>45667</v>
      </c>
      <c r="G70" s="17">
        <v>48</v>
      </c>
      <c r="H70" s="17" t="s">
        <v>195</v>
      </c>
      <c r="I70" s="5">
        <f t="shared" si="1"/>
        <v>29527.100000000002</v>
      </c>
      <c r="J70" s="17" t="s">
        <v>234</v>
      </c>
    </row>
    <row r="71" spans="1:10" s="18" customFormat="1" ht="15" customHeight="1" x14ac:dyDescent="0.25">
      <c r="A71" s="12" t="s">
        <v>211</v>
      </c>
      <c r="B71" s="4" t="s">
        <v>127</v>
      </c>
      <c r="C71" s="4" t="s">
        <v>67</v>
      </c>
      <c r="D71" s="13" t="s">
        <v>212</v>
      </c>
      <c r="E71" s="19">
        <v>4429065</v>
      </c>
      <c r="F71" s="15">
        <v>45703</v>
      </c>
      <c r="G71" s="17">
        <v>48</v>
      </c>
      <c r="H71" s="17" t="s">
        <v>195</v>
      </c>
      <c r="I71" s="5">
        <f t="shared" si="1"/>
        <v>44290.65</v>
      </c>
      <c r="J71" s="17" t="s">
        <v>235</v>
      </c>
    </row>
    <row r="72" spans="1:10" s="18" customFormat="1" ht="25.5" x14ac:dyDescent="0.25">
      <c r="A72" s="12" t="s">
        <v>213</v>
      </c>
      <c r="B72" s="4" t="s">
        <v>10</v>
      </c>
      <c r="C72" s="4" t="s">
        <v>0</v>
      </c>
      <c r="D72" s="13" t="s">
        <v>214</v>
      </c>
      <c r="E72" s="19">
        <v>5760000</v>
      </c>
      <c r="F72" s="15">
        <v>45536</v>
      </c>
      <c r="G72" s="17">
        <v>36</v>
      </c>
      <c r="H72" s="17" t="s">
        <v>215</v>
      </c>
      <c r="I72" s="5">
        <f t="shared" si="1"/>
        <v>57600</v>
      </c>
      <c r="J72" s="17" t="s">
        <v>236</v>
      </c>
    </row>
    <row r="73" spans="1:10" s="18" customFormat="1" ht="29.25" customHeight="1" x14ac:dyDescent="0.25">
      <c r="A73" s="12" t="s">
        <v>216</v>
      </c>
      <c r="B73" s="4" t="s">
        <v>126</v>
      </c>
      <c r="C73" s="4" t="s">
        <v>4</v>
      </c>
      <c r="D73" s="13" t="s">
        <v>217</v>
      </c>
      <c r="E73" s="19">
        <v>3090000</v>
      </c>
      <c r="F73" s="15">
        <v>45590</v>
      </c>
      <c r="G73" s="17">
        <v>48</v>
      </c>
      <c r="H73" s="29" t="s">
        <v>195</v>
      </c>
      <c r="I73" s="5">
        <f t="shared" si="1"/>
        <v>30900</v>
      </c>
      <c r="J73" s="17" t="s">
        <v>237</v>
      </c>
    </row>
    <row r="74" spans="1:10" s="18" customFormat="1" ht="28.5" customHeight="1" x14ac:dyDescent="0.25">
      <c r="A74" s="21" t="s">
        <v>218</v>
      </c>
      <c r="B74" s="5" t="s">
        <v>126</v>
      </c>
      <c r="C74" s="5" t="s">
        <v>4</v>
      </c>
      <c r="D74" s="25" t="s">
        <v>219</v>
      </c>
      <c r="E74" s="19">
        <v>8858130</v>
      </c>
      <c r="F74" s="15">
        <v>45748</v>
      </c>
      <c r="G74" s="17">
        <v>48</v>
      </c>
      <c r="H74" s="17" t="s">
        <v>195</v>
      </c>
      <c r="I74" s="5">
        <f t="shared" si="1"/>
        <v>88581.3</v>
      </c>
      <c r="J74" s="17" t="s">
        <v>238</v>
      </c>
    </row>
    <row r="75" spans="1:10" s="18" customFormat="1" ht="24" customHeight="1" x14ac:dyDescent="0.25">
      <c r="A75" s="12" t="s">
        <v>220</v>
      </c>
      <c r="B75" s="4" t="s">
        <v>10</v>
      </c>
      <c r="C75" s="4" t="s">
        <v>0</v>
      </c>
      <c r="D75" s="13" t="s">
        <v>221</v>
      </c>
      <c r="E75" s="19">
        <v>1260000</v>
      </c>
      <c r="F75" s="15">
        <v>45458</v>
      </c>
      <c r="G75" s="17">
        <v>48</v>
      </c>
      <c r="H75" s="17" t="s">
        <v>195</v>
      </c>
      <c r="I75" s="5">
        <f t="shared" si="1"/>
        <v>12600</v>
      </c>
      <c r="J75" s="17" t="s">
        <v>239</v>
      </c>
    </row>
    <row r="76" spans="1:10" s="18" customFormat="1" ht="30.75" customHeight="1" x14ac:dyDescent="0.25">
      <c r="A76" s="12" t="s">
        <v>222</v>
      </c>
      <c r="B76" s="4" t="s">
        <v>10</v>
      </c>
      <c r="C76" s="4" t="s">
        <v>0</v>
      </c>
      <c r="D76" s="13" t="s">
        <v>223</v>
      </c>
      <c r="E76" s="19">
        <v>1260000</v>
      </c>
      <c r="F76" s="15">
        <v>45458</v>
      </c>
      <c r="G76" s="17">
        <v>48</v>
      </c>
      <c r="H76" s="17" t="s">
        <v>195</v>
      </c>
      <c r="I76" s="5">
        <f t="shared" si="1"/>
        <v>12600</v>
      </c>
      <c r="J76" s="17" t="s">
        <v>239</v>
      </c>
    </row>
    <row r="77" spans="1:10" s="18" customFormat="1" ht="33.75" customHeight="1" x14ac:dyDescent="0.25">
      <c r="A77" s="12" t="s">
        <v>224</v>
      </c>
      <c r="B77" s="4" t="s">
        <v>10</v>
      </c>
      <c r="C77" s="4" t="s">
        <v>0</v>
      </c>
      <c r="D77" s="13" t="s">
        <v>197</v>
      </c>
      <c r="E77" s="19">
        <v>6336000</v>
      </c>
      <c r="F77" s="15">
        <v>45468</v>
      </c>
      <c r="G77" s="17">
        <v>48</v>
      </c>
      <c r="H77" s="17" t="s">
        <v>195</v>
      </c>
      <c r="I77" s="5">
        <f t="shared" si="1"/>
        <v>63360</v>
      </c>
      <c r="J77" s="17" t="s">
        <v>240</v>
      </c>
    </row>
    <row r="78" spans="1:10" x14ac:dyDescent="0.25">
      <c r="H78" s="7"/>
      <c r="I78" s="7"/>
      <c r="J78" s="7"/>
    </row>
  </sheetData>
  <conditionalFormatting sqref="A16:A40 A60:A61">
    <cfRule type="duplicateValues" dxfId="59" priority="55"/>
    <cfRule type="duplicateValues" dxfId="58" priority="54"/>
    <cfRule type="duplicateValues" dxfId="57" priority="53"/>
    <cfRule type="duplicateValues" dxfId="56" priority="56"/>
  </conditionalFormatting>
  <conditionalFormatting sqref="A33:A34 A36:A38">
    <cfRule type="duplicateValues" dxfId="55" priority="44"/>
    <cfRule type="duplicateValues" dxfId="54" priority="43"/>
    <cfRule type="duplicateValues" dxfId="53" priority="42"/>
    <cfRule type="duplicateValues" dxfId="52" priority="41"/>
  </conditionalFormatting>
  <conditionalFormatting sqref="A33:A40 A60:A61">
    <cfRule type="duplicateValues" dxfId="51" priority="52"/>
    <cfRule type="duplicateValues" dxfId="50" priority="51"/>
    <cfRule type="duplicateValues" dxfId="49" priority="50"/>
    <cfRule type="duplicateValues" dxfId="48" priority="49"/>
  </conditionalFormatting>
  <conditionalFormatting sqref="A35 A39:A40 A60:A61">
    <cfRule type="duplicateValues" dxfId="47" priority="48"/>
    <cfRule type="duplicateValues" dxfId="46" priority="46"/>
    <cfRule type="duplicateValues" dxfId="45" priority="47"/>
    <cfRule type="duplicateValues" dxfId="44" priority="45"/>
  </conditionalFormatting>
  <conditionalFormatting sqref="A41:A42">
    <cfRule type="duplicateValues" dxfId="43" priority="57"/>
    <cfRule type="duplicateValues" dxfId="42" priority="58"/>
    <cfRule type="duplicateValues" dxfId="41" priority="59"/>
    <cfRule type="duplicateValues" dxfId="40" priority="60"/>
  </conditionalFormatting>
  <conditionalFormatting sqref="A62:A69">
    <cfRule type="duplicateValues" dxfId="39" priority="36"/>
    <cfRule type="duplicateValues" dxfId="38" priority="35"/>
    <cfRule type="duplicateValues" dxfId="37" priority="34"/>
    <cfRule type="duplicateValues" dxfId="36" priority="33"/>
    <cfRule type="duplicateValues" dxfId="35" priority="28"/>
    <cfRule type="duplicateValues" dxfId="34" priority="25"/>
    <cfRule type="duplicateValues" dxfId="33" priority="26"/>
    <cfRule type="duplicateValues" dxfId="32" priority="27"/>
  </conditionalFormatting>
  <conditionalFormatting sqref="A67">
    <cfRule type="duplicateValues" dxfId="31" priority="32"/>
    <cfRule type="duplicateValues" dxfId="30" priority="29"/>
    <cfRule type="duplicateValues" dxfId="29" priority="30"/>
    <cfRule type="duplicateValues" dxfId="28" priority="31"/>
  </conditionalFormatting>
  <conditionalFormatting sqref="A70">
    <cfRule type="duplicateValues" dxfId="27" priority="38"/>
    <cfRule type="duplicateValues" dxfId="26" priority="39"/>
    <cfRule type="duplicateValues" dxfId="25" priority="40"/>
    <cfRule type="duplicateValues" dxfId="24" priority="21"/>
    <cfRule type="duplicateValues" dxfId="23" priority="22"/>
    <cfRule type="duplicateValues" dxfId="22" priority="23"/>
    <cfRule type="duplicateValues" dxfId="21" priority="24"/>
    <cfRule type="duplicateValues" dxfId="20" priority="37"/>
  </conditionalFormatting>
  <conditionalFormatting sqref="A71">
    <cfRule type="duplicateValues" dxfId="19" priority="20"/>
    <cfRule type="duplicateValues" dxfId="18" priority="19"/>
    <cfRule type="duplicateValues" dxfId="17" priority="18"/>
    <cfRule type="duplicateValues" dxfId="16" priority="17"/>
  </conditionalFormatting>
  <conditionalFormatting sqref="A72">
    <cfRule type="duplicateValues" dxfId="15" priority="14"/>
    <cfRule type="duplicateValues" dxfId="14" priority="13"/>
    <cfRule type="duplicateValues" dxfId="13" priority="15"/>
    <cfRule type="duplicateValues" dxfId="12" priority="16"/>
  </conditionalFormatting>
  <conditionalFormatting sqref="A73">
    <cfRule type="duplicateValues" dxfId="11" priority="4"/>
    <cfRule type="duplicateValues" dxfId="10" priority="3"/>
    <cfRule type="duplicateValues" dxfId="9" priority="1"/>
    <cfRule type="duplicateValues" dxfId="8" priority="2"/>
  </conditionalFormatting>
  <conditionalFormatting sqref="A77">
    <cfRule type="duplicateValues" dxfId="7" priority="8"/>
    <cfRule type="duplicateValues" dxfId="6" priority="12"/>
    <cfRule type="duplicateValues" dxfId="5" priority="11"/>
    <cfRule type="duplicateValues" dxfId="4" priority="10"/>
    <cfRule type="duplicateValues" dxfId="3" priority="9"/>
    <cfRule type="duplicateValues" dxfId="2" priority="7"/>
    <cfRule type="duplicateValues" dxfId="1" priority="6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Oumaima</dc:creator>
  <cp:lastModifiedBy>Hp</cp:lastModifiedBy>
  <cp:lastPrinted>2025-07-24T09:28:00Z</cp:lastPrinted>
  <dcterms:created xsi:type="dcterms:W3CDTF">2020-07-13T16:31:06Z</dcterms:created>
  <dcterms:modified xsi:type="dcterms:W3CDTF">2025-08-08T11:33:55Z</dcterms:modified>
</cp:coreProperties>
</file>